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Ex3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12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3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4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5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bube\Documents\Excel\"/>
    </mc:Choice>
  </mc:AlternateContent>
  <xr:revisionPtr revIDLastSave="0" documentId="8_{C98C807A-BE38-453D-B9C5-DA79565BEE41}" xr6:coauthVersionLast="47" xr6:coauthVersionMax="47" xr10:uidLastSave="{00000000-0000-0000-0000-000000000000}"/>
  <bookViews>
    <workbookView xWindow="-110" yWindow="-110" windowWidth="19420" windowHeight="11500" xr2:uid="{3206C89B-315C-403E-A44F-EEBE8FF4250D}"/>
  </bookViews>
  <sheets>
    <sheet name="Sheet1" sheetId="9" r:id="rId1"/>
    <sheet name="English" sheetId="7" r:id="rId2"/>
    <sheet name="Mathematics" sheetId="1" r:id="rId3"/>
    <sheet name="Science" sheetId="8" r:id="rId4"/>
  </sheets>
  <definedNames>
    <definedName name="_xlchart.v1.0" hidden="1">English!$A$5:$A$24</definedName>
    <definedName name="_xlchart.v1.1" hidden="1">English!$F$4</definedName>
    <definedName name="_xlchart.v1.2" hidden="1">English!$F$5:$F$24</definedName>
    <definedName name="_xlchart.v1.3" hidden="1">Mathematics!$A$5:$A$24</definedName>
    <definedName name="_xlchart.v1.4" hidden="1">Mathematics!$F$4</definedName>
    <definedName name="_xlchart.v1.5" hidden="1">Mathematics!$F$5:$F$24</definedName>
    <definedName name="_xlchart.v1.6" hidden="1">Science!$A$5:$A$24</definedName>
    <definedName name="_xlchart.v1.7" hidden="1">Science!$F$4</definedName>
    <definedName name="_xlchart.v1.8" hidden="1">Science!$F$5:$F$24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8" l="1"/>
  <c r="D24" i="8"/>
  <c r="C24" i="8"/>
  <c r="B24" i="8"/>
  <c r="E23" i="8"/>
  <c r="D23" i="8"/>
  <c r="C23" i="8"/>
  <c r="B23" i="8"/>
  <c r="F23" i="8" s="1"/>
  <c r="G23" i="8" s="1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B6" i="1"/>
  <c r="C6" i="1"/>
  <c r="D6" i="1"/>
  <c r="E6" i="1"/>
  <c r="B7" i="1"/>
  <c r="C7" i="1"/>
  <c r="D7" i="1"/>
  <c r="E7" i="1"/>
  <c r="B8" i="1"/>
  <c r="C8" i="1"/>
  <c r="D8" i="1"/>
  <c r="E8" i="1"/>
  <c r="B9" i="1"/>
  <c r="C9" i="1"/>
  <c r="D9" i="1"/>
  <c r="E9" i="1"/>
  <c r="B10" i="1"/>
  <c r="C10" i="1"/>
  <c r="D10" i="1"/>
  <c r="E10" i="1"/>
  <c r="B11" i="1"/>
  <c r="C11" i="1"/>
  <c r="D11" i="1"/>
  <c r="E11" i="1"/>
  <c r="B12" i="1"/>
  <c r="C12" i="1"/>
  <c r="D12" i="1"/>
  <c r="E12" i="1"/>
  <c r="B13" i="1"/>
  <c r="C13" i="1"/>
  <c r="D13" i="1"/>
  <c r="E13" i="1"/>
  <c r="B14" i="1"/>
  <c r="C14" i="1"/>
  <c r="D14" i="1"/>
  <c r="E14" i="1"/>
  <c r="B15" i="1"/>
  <c r="C15" i="1"/>
  <c r="D15" i="1"/>
  <c r="E15" i="1"/>
  <c r="B16" i="1"/>
  <c r="C16" i="1"/>
  <c r="D16" i="1"/>
  <c r="E16" i="1"/>
  <c r="B17" i="1"/>
  <c r="C17" i="1"/>
  <c r="D17" i="1"/>
  <c r="E17" i="1"/>
  <c r="B18" i="1"/>
  <c r="C18" i="1"/>
  <c r="D18" i="1"/>
  <c r="E18" i="1"/>
  <c r="B19" i="1"/>
  <c r="C19" i="1"/>
  <c r="D19" i="1"/>
  <c r="E19" i="1"/>
  <c r="B20" i="1"/>
  <c r="C20" i="1"/>
  <c r="D20" i="1"/>
  <c r="E20" i="1"/>
  <c r="B21" i="1"/>
  <c r="C21" i="1"/>
  <c r="D21" i="1"/>
  <c r="E21" i="1"/>
  <c r="B22" i="1"/>
  <c r="C22" i="1"/>
  <c r="D22" i="1"/>
  <c r="E22" i="1"/>
  <c r="B23" i="1"/>
  <c r="C23" i="1"/>
  <c r="D23" i="1"/>
  <c r="E23" i="1"/>
  <c r="B24" i="1"/>
  <c r="C24" i="1"/>
  <c r="D24" i="1"/>
  <c r="E24" i="1"/>
  <c r="C5" i="1"/>
  <c r="D5" i="1"/>
  <c r="E5" i="1"/>
  <c r="B5" i="1"/>
  <c r="F6" i="8" l="1"/>
  <c r="G6" i="8" s="1"/>
  <c r="F10" i="8"/>
  <c r="G10" i="8" s="1"/>
  <c r="F14" i="8"/>
  <c r="G14" i="8" s="1"/>
  <c r="F18" i="8"/>
  <c r="G18" i="8" s="1"/>
  <c r="F22" i="8"/>
  <c r="G22" i="8" s="1"/>
  <c r="F9" i="8"/>
  <c r="G9" i="8" s="1"/>
  <c r="F21" i="8"/>
  <c r="G21" i="8" s="1"/>
  <c r="F17" i="8"/>
  <c r="G17" i="8" s="1"/>
  <c r="F13" i="8"/>
  <c r="G13" i="8" s="1"/>
  <c r="F7" i="7"/>
  <c r="G7" i="7" s="1"/>
  <c r="F11" i="7"/>
  <c r="G11" i="7" s="1"/>
  <c r="F15" i="7"/>
  <c r="G15" i="7" s="1"/>
  <c r="F19" i="7"/>
  <c r="G19" i="7" s="1"/>
  <c r="F23" i="7"/>
  <c r="G23" i="7" s="1"/>
  <c r="F7" i="8"/>
  <c r="G7" i="8" s="1"/>
  <c r="F8" i="8"/>
  <c r="G8" i="8" s="1"/>
  <c r="C28" i="8"/>
  <c r="F16" i="8"/>
  <c r="G16" i="8" s="1"/>
  <c r="D28" i="8"/>
  <c r="C27" i="8"/>
  <c r="F11" i="8"/>
  <c r="G11" i="8" s="1"/>
  <c r="F20" i="8"/>
  <c r="G20" i="8" s="1"/>
  <c r="E28" i="8"/>
  <c r="D27" i="8"/>
  <c r="F15" i="8"/>
  <c r="G15" i="8" s="1"/>
  <c r="F24" i="8"/>
  <c r="G24" i="8" s="1"/>
  <c r="B28" i="8"/>
  <c r="F12" i="8"/>
  <c r="G12" i="8" s="1"/>
  <c r="F6" i="7"/>
  <c r="G6" i="7" s="1"/>
  <c r="F10" i="7"/>
  <c r="G10" i="7" s="1"/>
  <c r="F14" i="7"/>
  <c r="G14" i="7" s="1"/>
  <c r="F18" i="7"/>
  <c r="G18" i="7" s="1"/>
  <c r="F22" i="7"/>
  <c r="G22" i="7" s="1"/>
  <c r="F5" i="8"/>
  <c r="G5" i="8" s="1"/>
  <c r="E27" i="8"/>
  <c r="F19" i="8"/>
  <c r="G19" i="8" s="1"/>
  <c r="B27" i="8"/>
  <c r="B28" i="7"/>
  <c r="B26" i="8"/>
  <c r="C28" i="7"/>
  <c r="C26" i="8"/>
  <c r="D28" i="7"/>
  <c r="D26" i="8"/>
  <c r="E27" i="7"/>
  <c r="E26" i="8"/>
  <c r="C27" i="7"/>
  <c r="D27" i="7"/>
  <c r="F9" i="7"/>
  <c r="G9" i="7" s="1"/>
  <c r="F13" i="7"/>
  <c r="G13" i="7" s="1"/>
  <c r="F17" i="7"/>
  <c r="G17" i="7" s="1"/>
  <c r="F21" i="7"/>
  <c r="G21" i="7" s="1"/>
  <c r="F8" i="7"/>
  <c r="G8" i="7" s="1"/>
  <c r="F12" i="7"/>
  <c r="G12" i="7" s="1"/>
  <c r="F16" i="7"/>
  <c r="G16" i="7" s="1"/>
  <c r="F20" i="7"/>
  <c r="G20" i="7" s="1"/>
  <c r="F24" i="7"/>
  <c r="G24" i="7" s="1"/>
  <c r="E26" i="7"/>
  <c r="E28" i="7"/>
  <c r="F5" i="7"/>
  <c r="G5" i="7" s="1"/>
  <c r="B27" i="7"/>
  <c r="B26" i="7"/>
  <c r="C26" i="7"/>
  <c r="D26" i="7"/>
  <c r="F13" i="1"/>
  <c r="G13" i="1" s="1"/>
  <c r="F21" i="1"/>
  <c r="G21" i="1" s="1"/>
  <c r="F11" i="1"/>
  <c r="G11" i="1" s="1"/>
  <c r="F19" i="1"/>
  <c r="G19" i="1" s="1"/>
  <c r="F23" i="1"/>
  <c r="G23" i="1" s="1"/>
  <c r="F15" i="1"/>
  <c r="G15" i="1" s="1"/>
  <c r="F7" i="1"/>
  <c r="G7" i="1" s="1"/>
  <c r="F12" i="1"/>
  <c r="G12" i="1" s="1"/>
  <c r="F20" i="1"/>
  <c r="G20" i="1" s="1"/>
  <c r="F6" i="1"/>
  <c r="G6" i="1" s="1"/>
  <c r="F14" i="1"/>
  <c r="G14" i="1" s="1"/>
  <c r="F22" i="1"/>
  <c r="G22" i="1" s="1"/>
  <c r="F8" i="1"/>
  <c r="G8" i="1" s="1"/>
  <c r="F16" i="1"/>
  <c r="G16" i="1" s="1"/>
  <c r="F24" i="1"/>
  <c r="G24" i="1" s="1"/>
  <c r="F9" i="1"/>
  <c r="G9" i="1" s="1"/>
  <c r="F17" i="1"/>
  <c r="G17" i="1" s="1"/>
  <c r="F10" i="1"/>
  <c r="G10" i="1" s="1"/>
  <c r="F18" i="1"/>
  <c r="G18" i="1" s="1"/>
  <c r="F5" i="1"/>
  <c r="G5" i="1" s="1"/>
  <c r="D28" i="1"/>
  <c r="C28" i="1"/>
  <c r="E28" i="1"/>
  <c r="B28" i="1"/>
  <c r="D27" i="1"/>
  <c r="C27" i="1"/>
  <c r="E27" i="1"/>
  <c r="B27" i="1"/>
  <c r="D26" i="1"/>
  <c r="C26" i="1"/>
  <c r="E26" i="1"/>
  <c r="B26" i="1"/>
</calcChain>
</file>

<file path=xl/sharedStrings.xml><?xml version="1.0" encoding="utf-8"?>
<sst xmlns="http://schemas.openxmlformats.org/spreadsheetml/2006/main" count="101" uniqueCount="39">
  <si>
    <t>Aaliyah Khan</t>
  </si>
  <si>
    <t>Elena Rodriguez</t>
  </si>
  <si>
    <t>Chloe Mae</t>
  </si>
  <si>
    <t>Zora Vance</t>
  </si>
  <si>
    <t>Mei Lin</t>
  </si>
  <si>
    <t>Isabella Layne</t>
  </si>
  <si>
    <t>Fatime Al-Sayed</t>
  </si>
  <si>
    <t>Sloane Emerson</t>
  </si>
  <si>
    <t>Amara Okafor</t>
  </si>
  <si>
    <t>Penelope Claire</t>
  </si>
  <si>
    <t>Liam Christopher</t>
  </si>
  <si>
    <t>Mateo Garcia</t>
  </si>
  <si>
    <t>Aditya Prabhakar</t>
  </si>
  <si>
    <t>Julian Caleb</t>
  </si>
  <si>
    <t>Arlo Calloway</t>
  </si>
  <si>
    <t>Kofi Mensah</t>
  </si>
  <si>
    <t>Sebastian Vance</t>
  </si>
  <si>
    <t>Xavier Smith</t>
  </si>
  <si>
    <t>Declan Wesley</t>
  </si>
  <si>
    <t>Hiroshi Tanaka</t>
  </si>
  <si>
    <t>Mathematics Grades For Students in Year 12A</t>
  </si>
  <si>
    <t>Test2</t>
  </si>
  <si>
    <t>Midterm</t>
  </si>
  <si>
    <t>Final</t>
  </si>
  <si>
    <t>Averages</t>
  </si>
  <si>
    <t>Test1</t>
  </si>
  <si>
    <t>Class Lowest</t>
  </si>
  <si>
    <t>Class Highest</t>
  </si>
  <si>
    <t>Student Average</t>
  </si>
  <si>
    <t>All tests are graded out of 100</t>
  </si>
  <si>
    <t>Student remark</t>
  </si>
  <si>
    <t>Student Name</t>
  </si>
  <si>
    <t>English Grades For Students in Year 12A</t>
  </si>
  <si>
    <t>Science Grades For Students in Year 12A</t>
  </si>
  <si>
    <t>Science</t>
  </si>
  <si>
    <t>Student Grade Tracker</t>
  </si>
  <si>
    <t>Home Dashboard</t>
  </si>
  <si>
    <t>Mathematics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</si>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</sst>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A0A0A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36"/>
      <color theme="1"/>
      <name val="Aptos Narrow"/>
      <family val="2"/>
      <scheme val="minor"/>
    </font>
    <font>
      <i/>
      <sz val="24"/>
      <color theme="1"/>
      <name val="Aptos Narrow"/>
      <family val="2"/>
      <scheme val="minor"/>
    </font>
    <font>
      <u/>
      <sz val="20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6" fillId="0" borderId="0" xfId="1" applyFont="1"/>
    <xf numFmtId="0" fontId="4" fillId="2" borderId="0" xfId="0" applyFont="1" applyFill="1"/>
    <xf numFmtId="0" fontId="5" fillId="3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English Grades For Year 12A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English!$B$4</c:f>
              <c:strCache>
                <c:ptCount val="1"/>
                <c:pt idx="0">
                  <c:v>Test1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English!$A$5:$A$24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English!$B$5:$B$24</c:f>
              <c:numCache>
                <c:formatCode>General</c:formatCode>
                <c:ptCount val="20"/>
                <c:pt idx="0">
                  <c:v>76</c:v>
                </c:pt>
                <c:pt idx="1">
                  <c:v>4</c:v>
                </c:pt>
                <c:pt idx="2">
                  <c:v>97</c:v>
                </c:pt>
                <c:pt idx="3">
                  <c:v>79</c:v>
                </c:pt>
                <c:pt idx="4">
                  <c:v>74</c:v>
                </c:pt>
                <c:pt idx="5">
                  <c:v>0</c:v>
                </c:pt>
                <c:pt idx="6">
                  <c:v>70</c:v>
                </c:pt>
                <c:pt idx="7">
                  <c:v>49</c:v>
                </c:pt>
                <c:pt idx="8">
                  <c:v>9</c:v>
                </c:pt>
                <c:pt idx="9">
                  <c:v>62</c:v>
                </c:pt>
                <c:pt idx="10">
                  <c:v>4</c:v>
                </c:pt>
                <c:pt idx="11">
                  <c:v>58</c:v>
                </c:pt>
                <c:pt idx="12">
                  <c:v>18</c:v>
                </c:pt>
                <c:pt idx="13">
                  <c:v>33</c:v>
                </c:pt>
                <c:pt idx="14">
                  <c:v>85</c:v>
                </c:pt>
                <c:pt idx="15">
                  <c:v>60</c:v>
                </c:pt>
                <c:pt idx="16">
                  <c:v>60</c:v>
                </c:pt>
                <c:pt idx="17">
                  <c:v>99</c:v>
                </c:pt>
                <c:pt idx="18">
                  <c:v>45</c:v>
                </c:pt>
                <c:pt idx="19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9C-4EB8-9595-5E0D19EE6EDE}"/>
            </c:ext>
          </c:extLst>
        </c:ser>
        <c:ser>
          <c:idx val="1"/>
          <c:order val="1"/>
          <c:tx>
            <c:strRef>
              <c:f>English!$C$4</c:f>
              <c:strCache>
                <c:ptCount val="1"/>
                <c:pt idx="0">
                  <c:v>Test2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English!$A$5:$A$24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English!$C$5:$C$24</c:f>
              <c:numCache>
                <c:formatCode>General</c:formatCode>
                <c:ptCount val="20"/>
                <c:pt idx="0">
                  <c:v>98</c:v>
                </c:pt>
                <c:pt idx="1">
                  <c:v>74</c:v>
                </c:pt>
                <c:pt idx="2">
                  <c:v>79</c:v>
                </c:pt>
                <c:pt idx="3">
                  <c:v>43</c:v>
                </c:pt>
                <c:pt idx="4">
                  <c:v>54</c:v>
                </c:pt>
                <c:pt idx="5">
                  <c:v>90</c:v>
                </c:pt>
                <c:pt idx="6">
                  <c:v>76</c:v>
                </c:pt>
                <c:pt idx="7">
                  <c:v>33</c:v>
                </c:pt>
                <c:pt idx="8">
                  <c:v>82</c:v>
                </c:pt>
                <c:pt idx="9">
                  <c:v>65</c:v>
                </c:pt>
                <c:pt idx="10">
                  <c:v>34</c:v>
                </c:pt>
                <c:pt idx="11">
                  <c:v>58</c:v>
                </c:pt>
                <c:pt idx="12">
                  <c:v>34</c:v>
                </c:pt>
                <c:pt idx="13">
                  <c:v>65</c:v>
                </c:pt>
                <c:pt idx="14">
                  <c:v>25</c:v>
                </c:pt>
                <c:pt idx="15">
                  <c:v>24</c:v>
                </c:pt>
                <c:pt idx="16">
                  <c:v>46</c:v>
                </c:pt>
                <c:pt idx="17">
                  <c:v>65</c:v>
                </c:pt>
                <c:pt idx="18">
                  <c:v>86</c:v>
                </c:pt>
                <c:pt idx="19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9C-4EB8-9595-5E0D19EE6EDE}"/>
            </c:ext>
          </c:extLst>
        </c:ser>
        <c:ser>
          <c:idx val="2"/>
          <c:order val="2"/>
          <c:tx>
            <c:strRef>
              <c:f>English!$D$4</c:f>
              <c:strCache>
                <c:ptCount val="1"/>
                <c:pt idx="0">
                  <c:v>Midterm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English!$A$5:$A$24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English!$D$5:$D$24</c:f>
              <c:numCache>
                <c:formatCode>General</c:formatCode>
                <c:ptCount val="20"/>
                <c:pt idx="0">
                  <c:v>94</c:v>
                </c:pt>
                <c:pt idx="1">
                  <c:v>2</c:v>
                </c:pt>
                <c:pt idx="2">
                  <c:v>21</c:v>
                </c:pt>
                <c:pt idx="3">
                  <c:v>100</c:v>
                </c:pt>
                <c:pt idx="4">
                  <c:v>1</c:v>
                </c:pt>
                <c:pt idx="5">
                  <c:v>30</c:v>
                </c:pt>
                <c:pt idx="6">
                  <c:v>73</c:v>
                </c:pt>
                <c:pt idx="7">
                  <c:v>32</c:v>
                </c:pt>
                <c:pt idx="8">
                  <c:v>95</c:v>
                </c:pt>
                <c:pt idx="9">
                  <c:v>54</c:v>
                </c:pt>
                <c:pt idx="10">
                  <c:v>6</c:v>
                </c:pt>
                <c:pt idx="11">
                  <c:v>43</c:v>
                </c:pt>
                <c:pt idx="12">
                  <c:v>86</c:v>
                </c:pt>
                <c:pt idx="13">
                  <c:v>77</c:v>
                </c:pt>
                <c:pt idx="14">
                  <c:v>0</c:v>
                </c:pt>
                <c:pt idx="15">
                  <c:v>38</c:v>
                </c:pt>
                <c:pt idx="16">
                  <c:v>3</c:v>
                </c:pt>
                <c:pt idx="17">
                  <c:v>2</c:v>
                </c:pt>
                <c:pt idx="18">
                  <c:v>8</c:v>
                </c:pt>
                <c:pt idx="1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9C-4EB8-9595-5E0D19EE6EDE}"/>
            </c:ext>
          </c:extLst>
        </c:ser>
        <c:ser>
          <c:idx val="3"/>
          <c:order val="3"/>
          <c:tx>
            <c:strRef>
              <c:f>English!$E$4</c:f>
              <c:strCache>
                <c:ptCount val="1"/>
                <c:pt idx="0">
                  <c:v>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English!$A$5:$A$24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English!$E$5:$E$24</c:f>
              <c:numCache>
                <c:formatCode>General</c:formatCode>
                <c:ptCount val="20"/>
                <c:pt idx="0">
                  <c:v>15</c:v>
                </c:pt>
                <c:pt idx="1">
                  <c:v>73</c:v>
                </c:pt>
                <c:pt idx="2">
                  <c:v>18</c:v>
                </c:pt>
                <c:pt idx="3">
                  <c:v>90</c:v>
                </c:pt>
                <c:pt idx="4">
                  <c:v>30</c:v>
                </c:pt>
                <c:pt idx="5">
                  <c:v>89</c:v>
                </c:pt>
                <c:pt idx="6">
                  <c:v>0</c:v>
                </c:pt>
                <c:pt idx="7">
                  <c:v>51</c:v>
                </c:pt>
                <c:pt idx="8">
                  <c:v>28</c:v>
                </c:pt>
                <c:pt idx="9">
                  <c:v>97</c:v>
                </c:pt>
                <c:pt idx="10">
                  <c:v>78</c:v>
                </c:pt>
                <c:pt idx="11">
                  <c:v>84</c:v>
                </c:pt>
                <c:pt idx="12">
                  <c:v>70</c:v>
                </c:pt>
                <c:pt idx="13">
                  <c:v>59</c:v>
                </c:pt>
                <c:pt idx="14">
                  <c:v>17</c:v>
                </c:pt>
                <c:pt idx="15">
                  <c:v>84</c:v>
                </c:pt>
                <c:pt idx="16">
                  <c:v>57</c:v>
                </c:pt>
                <c:pt idx="17">
                  <c:v>54</c:v>
                </c:pt>
                <c:pt idx="18">
                  <c:v>68</c:v>
                </c:pt>
                <c:pt idx="19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9C-4EB8-9595-5E0D19EE6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5310048"/>
        <c:axId val="1855305248"/>
      </c:barChart>
      <c:lineChart>
        <c:grouping val="standard"/>
        <c:varyColors val="0"/>
        <c:ser>
          <c:idx val="4"/>
          <c:order val="4"/>
          <c:tx>
            <c:strRef>
              <c:f>English!$F$4</c:f>
              <c:strCache>
                <c:ptCount val="1"/>
                <c:pt idx="0">
                  <c:v>Student Average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English!$A$5:$A$24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English!$F$5:$F$24</c:f>
              <c:numCache>
                <c:formatCode>General</c:formatCode>
                <c:ptCount val="20"/>
                <c:pt idx="0">
                  <c:v>70.75</c:v>
                </c:pt>
                <c:pt idx="1">
                  <c:v>38.25</c:v>
                </c:pt>
                <c:pt idx="2">
                  <c:v>53.75</c:v>
                </c:pt>
                <c:pt idx="3">
                  <c:v>78</c:v>
                </c:pt>
                <c:pt idx="4">
                  <c:v>39.75</c:v>
                </c:pt>
                <c:pt idx="5">
                  <c:v>52.25</c:v>
                </c:pt>
                <c:pt idx="6">
                  <c:v>54.75</c:v>
                </c:pt>
                <c:pt idx="7">
                  <c:v>41.25</c:v>
                </c:pt>
                <c:pt idx="8">
                  <c:v>53.5</c:v>
                </c:pt>
                <c:pt idx="9">
                  <c:v>69.5</c:v>
                </c:pt>
                <c:pt idx="10">
                  <c:v>30.5</c:v>
                </c:pt>
                <c:pt idx="11">
                  <c:v>60.75</c:v>
                </c:pt>
                <c:pt idx="12">
                  <c:v>52</c:v>
                </c:pt>
                <c:pt idx="13">
                  <c:v>58.5</c:v>
                </c:pt>
                <c:pt idx="14">
                  <c:v>31.75</c:v>
                </c:pt>
                <c:pt idx="15">
                  <c:v>51.5</c:v>
                </c:pt>
                <c:pt idx="16">
                  <c:v>41.5</c:v>
                </c:pt>
                <c:pt idx="17">
                  <c:v>55</c:v>
                </c:pt>
                <c:pt idx="18">
                  <c:v>51.75</c:v>
                </c:pt>
                <c:pt idx="19">
                  <c:v>33.25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A9C-4EB8-9595-5E0D19EE6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5310048"/>
        <c:axId val="1855305248"/>
      </c:lineChart>
      <c:catAx>
        <c:axId val="185531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305248"/>
        <c:crosses val="autoZero"/>
        <c:auto val="1"/>
        <c:lblAlgn val="ctr"/>
        <c:lblOffset val="100"/>
        <c:noMultiLvlLbl val="0"/>
      </c:catAx>
      <c:valAx>
        <c:axId val="185530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31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Test1 Grades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English!$B$4</c:f>
              <c:strCache>
                <c:ptCount val="1"/>
                <c:pt idx="0">
                  <c:v>Test1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English!$A$5:$A$24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English!$B$5:$B$24</c:f>
              <c:numCache>
                <c:formatCode>General</c:formatCode>
                <c:ptCount val="20"/>
                <c:pt idx="0">
                  <c:v>76</c:v>
                </c:pt>
                <c:pt idx="1">
                  <c:v>4</c:v>
                </c:pt>
                <c:pt idx="2">
                  <c:v>97</c:v>
                </c:pt>
                <c:pt idx="3">
                  <c:v>79</c:v>
                </c:pt>
                <c:pt idx="4">
                  <c:v>74</c:v>
                </c:pt>
                <c:pt idx="5">
                  <c:v>0</c:v>
                </c:pt>
                <c:pt idx="6">
                  <c:v>70</c:v>
                </c:pt>
                <c:pt idx="7">
                  <c:v>49</c:v>
                </c:pt>
                <c:pt idx="8">
                  <c:v>9</c:v>
                </c:pt>
                <c:pt idx="9">
                  <c:v>62</c:v>
                </c:pt>
                <c:pt idx="10">
                  <c:v>4</c:v>
                </c:pt>
                <c:pt idx="11">
                  <c:v>58</c:v>
                </c:pt>
                <c:pt idx="12">
                  <c:v>18</c:v>
                </c:pt>
                <c:pt idx="13">
                  <c:v>33</c:v>
                </c:pt>
                <c:pt idx="14">
                  <c:v>85</c:v>
                </c:pt>
                <c:pt idx="15">
                  <c:v>60</c:v>
                </c:pt>
                <c:pt idx="16">
                  <c:v>60</c:v>
                </c:pt>
                <c:pt idx="17">
                  <c:v>99</c:v>
                </c:pt>
                <c:pt idx="18">
                  <c:v>45</c:v>
                </c:pt>
                <c:pt idx="19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2C-46B1-8AD4-297681301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9179536"/>
        <c:axId val="2039182896"/>
      </c:barChart>
      <c:catAx>
        <c:axId val="203917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82896"/>
        <c:crosses val="autoZero"/>
        <c:auto val="1"/>
        <c:lblAlgn val="ctr"/>
        <c:lblOffset val="100"/>
        <c:noMultiLvlLbl val="0"/>
      </c:catAx>
      <c:valAx>
        <c:axId val="203918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7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English!$C$4</c:f>
              <c:strCache>
                <c:ptCount val="1"/>
                <c:pt idx="0">
                  <c:v>Test2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English!$A$5:$A$24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English!$C$5:$C$24</c:f>
              <c:numCache>
                <c:formatCode>General</c:formatCode>
                <c:ptCount val="20"/>
                <c:pt idx="0">
                  <c:v>98</c:v>
                </c:pt>
                <c:pt idx="1">
                  <c:v>74</c:v>
                </c:pt>
                <c:pt idx="2">
                  <c:v>79</c:v>
                </c:pt>
                <c:pt idx="3">
                  <c:v>43</c:v>
                </c:pt>
                <c:pt idx="4">
                  <c:v>54</c:v>
                </c:pt>
                <c:pt idx="5">
                  <c:v>90</c:v>
                </c:pt>
                <c:pt idx="6">
                  <c:v>76</c:v>
                </c:pt>
                <c:pt idx="7">
                  <c:v>33</c:v>
                </c:pt>
                <c:pt idx="8">
                  <c:v>82</c:v>
                </c:pt>
                <c:pt idx="9">
                  <c:v>65</c:v>
                </c:pt>
                <c:pt idx="10">
                  <c:v>34</c:v>
                </c:pt>
                <c:pt idx="11">
                  <c:v>58</c:v>
                </c:pt>
                <c:pt idx="12">
                  <c:v>34</c:v>
                </c:pt>
                <c:pt idx="13">
                  <c:v>65</c:v>
                </c:pt>
                <c:pt idx="14">
                  <c:v>25</c:v>
                </c:pt>
                <c:pt idx="15">
                  <c:v>24</c:v>
                </c:pt>
                <c:pt idx="16">
                  <c:v>46</c:v>
                </c:pt>
                <c:pt idx="17">
                  <c:v>65</c:v>
                </c:pt>
                <c:pt idx="18">
                  <c:v>86</c:v>
                </c:pt>
                <c:pt idx="19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8D-4432-A4D7-EC6378CD8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9193456"/>
        <c:axId val="2039203536"/>
      </c:barChart>
      <c:catAx>
        <c:axId val="203919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203536"/>
        <c:crosses val="autoZero"/>
        <c:auto val="1"/>
        <c:lblAlgn val="ctr"/>
        <c:lblOffset val="100"/>
        <c:noMultiLvlLbl val="0"/>
      </c:catAx>
      <c:valAx>
        <c:axId val="203920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93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Midterm Grades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English!$D$4</c:f>
              <c:strCache>
                <c:ptCount val="1"/>
                <c:pt idx="0">
                  <c:v>Midterm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English!$A$5:$A$24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English!$D$5:$D$24</c:f>
              <c:numCache>
                <c:formatCode>General</c:formatCode>
                <c:ptCount val="20"/>
                <c:pt idx="0">
                  <c:v>94</c:v>
                </c:pt>
                <c:pt idx="1">
                  <c:v>2</c:v>
                </c:pt>
                <c:pt idx="2">
                  <c:v>21</c:v>
                </c:pt>
                <c:pt idx="3">
                  <c:v>100</c:v>
                </c:pt>
                <c:pt idx="4">
                  <c:v>1</c:v>
                </c:pt>
                <c:pt idx="5">
                  <c:v>30</c:v>
                </c:pt>
                <c:pt idx="6">
                  <c:v>73</c:v>
                </c:pt>
                <c:pt idx="7">
                  <c:v>32</c:v>
                </c:pt>
                <c:pt idx="8">
                  <c:v>95</c:v>
                </c:pt>
                <c:pt idx="9">
                  <c:v>54</c:v>
                </c:pt>
                <c:pt idx="10">
                  <c:v>6</c:v>
                </c:pt>
                <c:pt idx="11">
                  <c:v>43</c:v>
                </c:pt>
                <c:pt idx="12">
                  <c:v>86</c:v>
                </c:pt>
                <c:pt idx="13">
                  <c:v>77</c:v>
                </c:pt>
                <c:pt idx="14">
                  <c:v>0</c:v>
                </c:pt>
                <c:pt idx="15">
                  <c:v>38</c:v>
                </c:pt>
                <c:pt idx="16">
                  <c:v>3</c:v>
                </c:pt>
                <c:pt idx="17">
                  <c:v>2</c:v>
                </c:pt>
                <c:pt idx="18">
                  <c:v>8</c:v>
                </c:pt>
                <c:pt idx="1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25-4FBB-8346-32D3AFBC9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9163696"/>
        <c:axId val="2039173296"/>
      </c:barChart>
      <c:catAx>
        <c:axId val="203916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73296"/>
        <c:crosses val="autoZero"/>
        <c:auto val="1"/>
        <c:lblAlgn val="ctr"/>
        <c:lblOffset val="100"/>
        <c:noMultiLvlLbl val="0"/>
      </c:catAx>
      <c:valAx>
        <c:axId val="203917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6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Final Exam Grades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English!$E$4</c:f>
              <c:strCache>
                <c:ptCount val="1"/>
                <c:pt idx="0">
                  <c:v>Final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English!$A$5:$A$24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English!$E$5:$E$24</c:f>
              <c:numCache>
                <c:formatCode>General</c:formatCode>
                <c:ptCount val="20"/>
                <c:pt idx="0">
                  <c:v>15</c:v>
                </c:pt>
                <c:pt idx="1">
                  <c:v>73</c:v>
                </c:pt>
                <c:pt idx="2">
                  <c:v>18</c:v>
                </c:pt>
                <c:pt idx="3">
                  <c:v>90</c:v>
                </c:pt>
                <c:pt idx="4">
                  <c:v>30</c:v>
                </c:pt>
                <c:pt idx="5">
                  <c:v>89</c:v>
                </c:pt>
                <c:pt idx="6">
                  <c:v>0</c:v>
                </c:pt>
                <c:pt idx="7">
                  <c:v>51</c:v>
                </c:pt>
                <c:pt idx="8">
                  <c:v>28</c:v>
                </c:pt>
                <c:pt idx="9">
                  <c:v>97</c:v>
                </c:pt>
                <c:pt idx="10">
                  <c:v>78</c:v>
                </c:pt>
                <c:pt idx="11">
                  <c:v>84</c:v>
                </c:pt>
                <c:pt idx="12">
                  <c:v>70</c:v>
                </c:pt>
                <c:pt idx="13">
                  <c:v>59</c:v>
                </c:pt>
                <c:pt idx="14">
                  <c:v>17</c:v>
                </c:pt>
                <c:pt idx="15">
                  <c:v>84</c:v>
                </c:pt>
                <c:pt idx="16">
                  <c:v>57</c:v>
                </c:pt>
                <c:pt idx="17">
                  <c:v>54</c:v>
                </c:pt>
                <c:pt idx="18">
                  <c:v>68</c:v>
                </c:pt>
                <c:pt idx="19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75-46BB-86AB-068345759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9136336"/>
        <c:axId val="2039143056"/>
      </c:barChart>
      <c:catAx>
        <c:axId val="203913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43056"/>
        <c:crosses val="autoZero"/>
        <c:auto val="1"/>
        <c:lblAlgn val="ctr"/>
        <c:lblOffset val="100"/>
        <c:noMultiLvlLbl val="0"/>
      </c:catAx>
      <c:valAx>
        <c:axId val="203914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3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Mathematics Grades For Year 12A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Mathematics!$B$4</c:f>
              <c:strCache>
                <c:ptCount val="1"/>
                <c:pt idx="0">
                  <c:v>Test1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Mathematics!$A$5:$A$24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Mathematics!$B$5:$B$24</c:f>
              <c:numCache>
                <c:formatCode>General</c:formatCode>
                <c:ptCount val="20"/>
                <c:pt idx="0">
                  <c:v>55</c:v>
                </c:pt>
                <c:pt idx="1">
                  <c:v>38</c:v>
                </c:pt>
                <c:pt idx="2">
                  <c:v>92</c:v>
                </c:pt>
                <c:pt idx="3">
                  <c:v>21</c:v>
                </c:pt>
                <c:pt idx="4">
                  <c:v>55</c:v>
                </c:pt>
                <c:pt idx="5">
                  <c:v>20</c:v>
                </c:pt>
                <c:pt idx="6">
                  <c:v>20</c:v>
                </c:pt>
                <c:pt idx="7">
                  <c:v>4</c:v>
                </c:pt>
                <c:pt idx="8">
                  <c:v>79</c:v>
                </c:pt>
                <c:pt idx="9">
                  <c:v>62</c:v>
                </c:pt>
                <c:pt idx="10">
                  <c:v>29</c:v>
                </c:pt>
                <c:pt idx="11">
                  <c:v>9</c:v>
                </c:pt>
                <c:pt idx="12">
                  <c:v>74</c:v>
                </c:pt>
                <c:pt idx="13">
                  <c:v>64</c:v>
                </c:pt>
                <c:pt idx="14">
                  <c:v>98</c:v>
                </c:pt>
                <c:pt idx="15">
                  <c:v>56</c:v>
                </c:pt>
                <c:pt idx="16">
                  <c:v>96</c:v>
                </c:pt>
                <c:pt idx="17">
                  <c:v>30</c:v>
                </c:pt>
                <c:pt idx="18">
                  <c:v>6</c:v>
                </c:pt>
                <c:pt idx="1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2F-4B5F-8D36-99C626676104}"/>
            </c:ext>
          </c:extLst>
        </c:ser>
        <c:ser>
          <c:idx val="1"/>
          <c:order val="1"/>
          <c:tx>
            <c:strRef>
              <c:f>Mathematics!$C$4</c:f>
              <c:strCache>
                <c:ptCount val="1"/>
                <c:pt idx="0">
                  <c:v>Test2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Mathematics!$A$5:$A$24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Mathematics!$C$5:$C$24</c:f>
              <c:numCache>
                <c:formatCode>General</c:formatCode>
                <c:ptCount val="20"/>
                <c:pt idx="0">
                  <c:v>55</c:v>
                </c:pt>
                <c:pt idx="1">
                  <c:v>86</c:v>
                </c:pt>
                <c:pt idx="2">
                  <c:v>37</c:v>
                </c:pt>
                <c:pt idx="3">
                  <c:v>41</c:v>
                </c:pt>
                <c:pt idx="4">
                  <c:v>28</c:v>
                </c:pt>
                <c:pt idx="5">
                  <c:v>36</c:v>
                </c:pt>
                <c:pt idx="6">
                  <c:v>80</c:v>
                </c:pt>
                <c:pt idx="7">
                  <c:v>85</c:v>
                </c:pt>
                <c:pt idx="8">
                  <c:v>2</c:v>
                </c:pt>
                <c:pt idx="9">
                  <c:v>5</c:v>
                </c:pt>
                <c:pt idx="10">
                  <c:v>18</c:v>
                </c:pt>
                <c:pt idx="11">
                  <c:v>37</c:v>
                </c:pt>
                <c:pt idx="12">
                  <c:v>81</c:v>
                </c:pt>
                <c:pt idx="13">
                  <c:v>18</c:v>
                </c:pt>
                <c:pt idx="14">
                  <c:v>21</c:v>
                </c:pt>
                <c:pt idx="15">
                  <c:v>73</c:v>
                </c:pt>
                <c:pt idx="16">
                  <c:v>17</c:v>
                </c:pt>
                <c:pt idx="17">
                  <c:v>44</c:v>
                </c:pt>
                <c:pt idx="18">
                  <c:v>15</c:v>
                </c:pt>
                <c:pt idx="19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2F-4B5F-8D36-99C626676104}"/>
            </c:ext>
          </c:extLst>
        </c:ser>
        <c:ser>
          <c:idx val="2"/>
          <c:order val="2"/>
          <c:tx>
            <c:strRef>
              <c:f>Mathematics!$D$4</c:f>
              <c:strCache>
                <c:ptCount val="1"/>
                <c:pt idx="0">
                  <c:v>Midterm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Mathematics!$A$5:$A$24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Mathematics!$D$5:$D$24</c:f>
              <c:numCache>
                <c:formatCode>General</c:formatCode>
                <c:ptCount val="20"/>
                <c:pt idx="0">
                  <c:v>27</c:v>
                </c:pt>
                <c:pt idx="1">
                  <c:v>6</c:v>
                </c:pt>
                <c:pt idx="2">
                  <c:v>54</c:v>
                </c:pt>
                <c:pt idx="3">
                  <c:v>2</c:v>
                </c:pt>
                <c:pt idx="4">
                  <c:v>60</c:v>
                </c:pt>
                <c:pt idx="5">
                  <c:v>35</c:v>
                </c:pt>
                <c:pt idx="6">
                  <c:v>18</c:v>
                </c:pt>
                <c:pt idx="7">
                  <c:v>35</c:v>
                </c:pt>
                <c:pt idx="8">
                  <c:v>38</c:v>
                </c:pt>
                <c:pt idx="9">
                  <c:v>45</c:v>
                </c:pt>
                <c:pt idx="10">
                  <c:v>90</c:v>
                </c:pt>
                <c:pt idx="11">
                  <c:v>78</c:v>
                </c:pt>
                <c:pt idx="12">
                  <c:v>54</c:v>
                </c:pt>
                <c:pt idx="13">
                  <c:v>40</c:v>
                </c:pt>
                <c:pt idx="14">
                  <c:v>16</c:v>
                </c:pt>
                <c:pt idx="15">
                  <c:v>64</c:v>
                </c:pt>
                <c:pt idx="16">
                  <c:v>23</c:v>
                </c:pt>
                <c:pt idx="17">
                  <c:v>90</c:v>
                </c:pt>
                <c:pt idx="18">
                  <c:v>91</c:v>
                </c:pt>
                <c:pt idx="19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2F-4B5F-8D36-99C626676104}"/>
            </c:ext>
          </c:extLst>
        </c:ser>
        <c:ser>
          <c:idx val="3"/>
          <c:order val="3"/>
          <c:tx>
            <c:strRef>
              <c:f>Mathematics!$E$4</c:f>
              <c:strCache>
                <c:ptCount val="1"/>
                <c:pt idx="0">
                  <c:v>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Mathematics!$A$5:$A$24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Mathematics!$E$5:$E$24</c:f>
              <c:numCache>
                <c:formatCode>General</c:formatCode>
                <c:ptCount val="20"/>
                <c:pt idx="0">
                  <c:v>20</c:v>
                </c:pt>
                <c:pt idx="1">
                  <c:v>69</c:v>
                </c:pt>
                <c:pt idx="2">
                  <c:v>15</c:v>
                </c:pt>
                <c:pt idx="3">
                  <c:v>40</c:v>
                </c:pt>
                <c:pt idx="4">
                  <c:v>26</c:v>
                </c:pt>
                <c:pt idx="5">
                  <c:v>100</c:v>
                </c:pt>
                <c:pt idx="6">
                  <c:v>11</c:v>
                </c:pt>
                <c:pt idx="7">
                  <c:v>77</c:v>
                </c:pt>
                <c:pt idx="8">
                  <c:v>44</c:v>
                </c:pt>
                <c:pt idx="9">
                  <c:v>54</c:v>
                </c:pt>
                <c:pt idx="10">
                  <c:v>91</c:v>
                </c:pt>
                <c:pt idx="11">
                  <c:v>94</c:v>
                </c:pt>
                <c:pt idx="12">
                  <c:v>65</c:v>
                </c:pt>
                <c:pt idx="13">
                  <c:v>96</c:v>
                </c:pt>
                <c:pt idx="14">
                  <c:v>72</c:v>
                </c:pt>
                <c:pt idx="15">
                  <c:v>83</c:v>
                </c:pt>
                <c:pt idx="16">
                  <c:v>71</c:v>
                </c:pt>
                <c:pt idx="17">
                  <c:v>30</c:v>
                </c:pt>
                <c:pt idx="18">
                  <c:v>100</c:v>
                </c:pt>
                <c:pt idx="19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2F-4B5F-8D36-99C626676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5310048"/>
        <c:axId val="1855305248"/>
      </c:barChart>
      <c:lineChart>
        <c:grouping val="standard"/>
        <c:varyColors val="0"/>
        <c:ser>
          <c:idx val="4"/>
          <c:order val="4"/>
          <c:tx>
            <c:strRef>
              <c:f>Mathematics!$F$4</c:f>
              <c:strCache>
                <c:ptCount val="1"/>
                <c:pt idx="0">
                  <c:v>Student Average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Mathematics!$A$5:$A$24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Mathematics!$F$5:$F$24</c:f>
              <c:numCache>
                <c:formatCode>General</c:formatCode>
                <c:ptCount val="20"/>
                <c:pt idx="0">
                  <c:v>39.25</c:v>
                </c:pt>
                <c:pt idx="1">
                  <c:v>49.75</c:v>
                </c:pt>
                <c:pt idx="2">
                  <c:v>49.5</c:v>
                </c:pt>
                <c:pt idx="3">
                  <c:v>26</c:v>
                </c:pt>
                <c:pt idx="4">
                  <c:v>42.25</c:v>
                </c:pt>
                <c:pt idx="5">
                  <c:v>47.75</c:v>
                </c:pt>
                <c:pt idx="6">
                  <c:v>32.25</c:v>
                </c:pt>
                <c:pt idx="7">
                  <c:v>50.25</c:v>
                </c:pt>
                <c:pt idx="8">
                  <c:v>40.75</c:v>
                </c:pt>
                <c:pt idx="9">
                  <c:v>41.5</c:v>
                </c:pt>
                <c:pt idx="10">
                  <c:v>57</c:v>
                </c:pt>
                <c:pt idx="11">
                  <c:v>54.5</c:v>
                </c:pt>
                <c:pt idx="12">
                  <c:v>68.5</c:v>
                </c:pt>
                <c:pt idx="13">
                  <c:v>54.5</c:v>
                </c:pt>
                <c:pt idx="14">
                  <c:v>51.75</c:v>
                </c:pt>
                <c:pt idx="15">
                  <c:v>69</c:v>
                </c:pt>
                <c:pt idx="16">
                  <c:v>51.75</c:v>
                </c:pt>
                <c:pt idx="17">
                  <c:v>48.5</c:v>
                </c:pt>
                <c:pt idx="18">
                  <c:v>53</c:v>
                </c:pt>
                <c:pt idx="19">
                  <c:v>51.5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92F-4B5F-8D36-99C626676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5310048"/>
        <c:axId val="1855305248"/>
      </c:lineChart>
      <c:catAx>
        <c:axId val="185531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305248"/>
        <c:crosses val="autoZero"/>
        <c:auto val="1"/>
        <c:lblAlgn val="ctr"/>
        <c:lblOffset val="100"/>
        <c:noMultiLvlLbl val="0"/>
      </c:catAx>
      <c:valAx>
        <c:axId val="185530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31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Test1 Grades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Mathematics!$B$4</c:f>
              <c:strCache>
                <c:ptCount val="1"/>
                <c:pt idx="0">
                  <c:v>Test1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Mathematics!$A$5:$A$24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Mathematics!$B$5:$B$24</c:f>
              <c:numCache>
                <c:formatCode>General</c:formatCode>
                <c:ptCount val="20"/>
                <c:pt idx="0">
                  <c:v>55</c:v>
                </c:pt>
                <c:pt idx="1">
                  <c:v>38</c:v>
                </c:pt>
                <c:pt idx="2">
                  <c:v>92</c:v>
                </c:pt>
                <c:pt idx="3">
                  <c:v>21</c:v>
                </c:pt>
                <c:pt idx="4">
                  <c:v>55</c:v>
                </c:pt>
                <c:pt idx="5">
                  <c:v>20</c:v>
                </c:pt>
                <c:pt idx="6">
                  <c:v>20</c:v>
                </c:pt>
                <c:pt idx="7">
                  <c:v>4</c:v>
                </c:pt>
                <c:pt idx="8">
                  <c:v>79</c:v>
                </c:pt>
                <c:pt idx="9">
                  <c:v>62</c:v>
                </c:pt>
                <c:pt idx="10">
                  <c:v>29</c:v>
                </c:pt>
                <c:pt idx="11">
                  <c:v>9</c:v>
                </c:pt>
                <c:pt idx="12">
                  <c:v>74</c:v>
                </c:pt>
                <c:pt idx="13">
                  <c:v>64</c:v>
                </c:pt>
                <c:pt idx="14">
                  <c:v>98</c:v>
                </c:pt>
                <c:pt idx="15">
                  <c:v>56</c:v>
                </c:pt>
                <c:pt idx="16">
                  <c:v>96</c:v>
                </c:pt>
                <c:pt idx="17">
                  <c:v>30</c:v>
                </c:pt>
                <c:pt idx="18">
                  <c:v>6</c:v>
                </c:pt>
                <c:pt idx="1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CA-4241-99B3-F0C8E171A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9179536"/>
        <c:axId val="2039182896"/>
      </c:barChart>
      <c:catAx>
        <c:axId val="203917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82896"/>
        <c:crosses val="autoZero"/>
        <c:auto val="1"/>
        <c:lblAlgn val="ctr"/>
        <c:lblOffset val="100"/>
        <c:noMultiLvlLbl val="0"/>
      </c:catAx>
      <c:valAx>
        <c:axId val="203918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7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Mathematics!$C$4</c:f>
              <c:strCache>
                <c:ptCount val="1"/>
                <c:pt idx="0">
                  <c:v>Test2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Mathematics!$A$5:$A$24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Mathematics!$C$5:$C$24</c:f>
              <c:numCache>
                <c:formatCode>General</c:formatCode>
                <c:ptCount val="20"/>
                <c:pt idx="0">
                  <c:v>55</c:v>
                </c:pt>
                <c:pt idx="1">
                  <c:v>86</c:v>
                </c:pt>
                <c:pt idx="2">
                  <c:v>37</c:v>
                </c:pt>
                <c:pt idx="3">
                  <c:v>41</c:v>
                </c:pt>
                <c:pt idx="4">
                  <c:v>28</c:v>
                </c:pt>
                <c:pt idx="5">
                  <c:v>36</c:v>
                </c:pt>
                <c:pt idx="6">
                  <c:v>80</c:v>
                </c:pt>
                <c:pt idx="7">
                  <c:v>85</c:v>
                </c:pt>
                <c:pt idx="8">
                  <c:v>2</c:v>
                </c:pt>
                <c:pt idx="9">
                  <c:v>5</c:v>
                </c:pt>
                <c:pt idx="10">
                  <c:v>18</c:v>
                </c:pt>
                <c:pt idx="11">
                  <c:v>37</c:v>
                </c:pt>
                <c:pt idx="12">
                  <c:v>81</c:v>
                </c:pt>
                <c:pt idx="13">
                  <c:v>18</c:v>
                </c:pt>
                <c:pt idx="14">
                  <c:v>21</c:v>
                </c:pt>
                <c:pt idx="15">
                  <c:v>73</c:v>
                </c:pt>
                <c:pt idx="16">
                  <c:v>17</c:v>
                </c:pt>
                <c:pt idx="17">
                  <c:v>44</c:v>
                </c:pt>
                <c:pt idx="18">
                  <c:v>15</c:v>
                </c:pt>
                <c:pt idx="19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2-4C07-98A7-D5F95C68AE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9193456"/>
        <c:axId val="2039203536"/>
      </c:barChart>
      <c:catAx>
        <c:axId val="203919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203536"/>
        <c:crosses val="autoZero"/>
        <c:auto val="1"/>
        <c:lblAlgn val="ctr"/>
        <c:lblOffset val="100"/>
        <c:noMultiLvlLbl val="0"/>
      </c:catAx>
      <c:valAx>
        <c:axId val="203920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93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Midterm Grades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Mathematics!$D$4</c:f>
              <c:strCache>
                <c:ptCount val="1"/>
                <c:pt idx="0">
                  <c:v>Midterm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Mathematics!$A$5:$A$24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Mathematics!$D$5:$D$24</c:f>
              <c:numCache>
                <c:formatCode>General</c:formatCode>
                <c:ptCount val="20"/>
                <c:pt idx="0">
                  <c:v>27</c:v>
                </c:pt>
                <c:pt idx="1">
                  <c:v>6</c:v>
                </c:pt>
                <c:pt idx="2">
                  <c:v>54</c:v>
                </c:pt>
                <c:pt idx="3">
                  <c:v>2</c:v>
                </c:pt>
                <c:pt idx="4">
                  <c:v>60</c:v>
                </c:pt>
                <c:pt idx="5">
                  <c:v>35</c:v>
                </c:pt>
                <c:pt idx="6">
                  <c:v>18</c:v>
                </c:pt>
                <c:pt idx="7">
                  <c:v>35</c:v>
                </c:pt>
                <c:pt idx="8">
                  <c:v>38</c:v>
                </c:pt>
                <c:pt idx="9">
                  <c:v>45</c:v>
                </c:pt>
                <c:pt idx="10">
                  <c:v>90</c:v>
                </c:pt>
                <c:pt idx="11">
                  <c:v>78</c:v>
                </c:pt>
                <c:pt idx="12">
                  <c:v>54</c:v>
                </c:pt>
                <c:pt idx="13">
                  <c:v>40</c:v>
                </c:pt>
                <c:pt idx="14">
                  <c:v>16</c:v>
                </c:pt>
                <c:pt idx="15">
                  <c:v>64</c:v>
                </c:pt>
                <c:pt idx="16">
                  <c:v>23</c:v>
                </c:pt>
                <c:pt idx="17">
                  <c:v>90</c:v>
                </c:pt>
                <c:pt idx="18">
                  <c:v>91</c:v>
                </c:pt>
                <c:pt idx="19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CD-4A5E-A140-FCA8FA39A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9163696"/>
        <c:axId val="2039173296"/>
      </c:barChart>
      <c:catAx>
        <c:axId val="203916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73296"/>
        <c:crosses val="autoZero"/>
        <c:auto val="1"/>
        <c:lblAlgn val="ctr"/>
        <c:lblOffset val="100"/>
        <c:noMultiLvlLbl val="0"/>
      </c:catAx>
      <c:valAx>
        <c:axId val="203917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6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Final Exam Grades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Mathematics!$E$4</c:f>
              <c:strCache>
                <c:ptCount val="1"/>
                <c:pt idx="0">
                  <c:v>Final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Mathematics!$A$5:$A$24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Mathematics!$E$5:$E$24</c:f>
              <c:numCache>
                <c:formatCode>General</c:formatCode>
                <c:ptCount val="20"/>
                <c:pt idx="0">
                  <c:v>20</c:v>
                </c:pt>
                <c:pt idx="1">
                  <c:v>69</c:v>
                </c:pt>
                <c:pt idx="2">
                  <c:v>15</c:v>
                </c:pt>
                <c:pt idx="3">
                  <c:v>40</c:v>
                </c:pt>
                <c:pt idx="4">
                  <c:v>26</c:v>
                </c:pt>
                <c:pt idx="5">
                  <c:v>100</c:v>
                </c:pt>
                <c:pt idx="6">
                  <c:v>11</c:v>
                </c:pt>
                <c:pt idx="7">
                  <c:v>77</c:v>
                </c:pt>
                <c:pt idx="8">
                  <c:v>44</c:v>
                </c:pt>
                <c:pt idx="9">
                  <c:v>54</c:v>
                </c:pt>
                <c:pt idx="10">
                  <c:v>91</c:v>
                </c:pt>
                <c:pt idx="11">
                  <c:v>94</c:v>
                </c:pt>
                <c:pt idx="12">
                  <c:v>65</c:v>
                </c:pt>
                <c:pt idx="13">
                  <c:v>96</c:v>
                </c:pt>
                <c:pt idx="14">
                  <c:v>72</c:v>
                </c:pt>
                <c:pt idx="15">
                  <c:v>83</c:v>
                </c:pt>
                <c:pt idx="16">
                  <c:v>71</c:v>
                </c:pt>
                <c:pt idx="17">
                  <c:v>30</c:v>
                </c:pt>
                <c:pt idx="18">
                  <c:v>100</c:v>
                </c:pt>
                <c:pt idx="19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AB-42B2-B74C-98CFFE23D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9136336"/>
        <c:axId val="2039143056"/>
      </c:barChart>
      <c:catAx>
        <c:axId val="203913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43056"/>
        <c:crosses val="autoZero"/>
        <c:auto val="1"/>
        <c:lblAlgn val="ctr"/>
        <c:lblOffset val="100"/>
        <c:noMultiLvlLbl val="0"/>
      </c:catAx>
      <c:valAx>
        <c:axId val="203914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3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Science Grades For Year 12A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Science!$B$4</c:f>
              <c:strCache>
                <c:ptCount val="1"/>
                <c:pt idx="0">
                  <c:v>Test1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Science!$A$5:$A$24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Science!$B$5:$B$24</c:f>
              <c:numCache>
                <c:formatCode>General</c:formatCode>
                <c:ptCount val="20"/>
                <c:pt idx="0">
                  <c:v>8</c:v>
                </c:pt>
                <c:pt idx="1">
                  <c:v>95</c:v>
                </c:pt>
                <c:pt idx="2">
                  <c:v>100</c:v>
                </c:pt>
                <c:pt idx="3">
                  <c:v>10</c:v>
                </c:pt>
                <c:pt idx="4">
                  <c:v>59</c:v>
                </c:pt>
                <c:pt idx="5">
                  <c:v>82</c:v>
                </c:pt>
                <c:pt idx="6">
                  <c:v>96</c:v>
                </c:pt>
                <c:pt idx="7">
                  <c:v>97</c:v>
                </c:pt>
                <c:pt idx="8">
                  <c:v>90</c:v>
                </c:pt>
                <c:pt idx="9">
                  <c:v>46</c:v>
                </c:pt>
                <c:pt idx="10">
                  <c:v>97</c:v>
                </c:pt>
                <c:pt idx="11">
                  <c:v>37</c:v>
                </c:pt>
                <c:pt idx="12">
                  <c:v>33</c:v>
                </c:pt>
                <c:pt idx="13">
                  <c:v>14</c:v>
                </c:pt>
                <c:pt idx="14">
                  <c:v>4</c:v>
                </c:pt>
                <c:pt idx="15">
                  <c:v>54</c:v>
                </c:pt>
                <c:pt idx="16">
                  <c:v>91</c:v>
                </c:pt>
                <c:pt idx="17">
                  <c:v>43</c:v>
                </c:pt>
                <c:pt idx="18">
                  <c:v>73</c:v>
                </c:pt>
                <c:pt idx="19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C4-47A5-849F-B59F62239B51}"/>
            </c:ext>
          </c:extLst>
        </c:ser>
        <c:ser>
          <c:idx val="1"/>
          <c:order val="1"/>
          <c:tx>
            <c:strRef>
              <c:f>Science!$C$4</c:f>
              <c:strCache>
                <c:ptCount val="1"/>
                <c:pt idx="0">
                  <c:v>Test2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Science!$A$5:$A$24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Science!$C$5:$C$24</c:f>
              <c:numCache>
                <c:formatCode>General</c:formatCode>
                <c:ptCount val="20"/>
                <c:pt idx="0">
                  <c:v>62</c:v>
                </c:pt>
                <c:pt idx="1">
                  <c:v>55</c:v>
                </c:pt>
                <c:pt idx="2">
                  <c:v>7</c:v>
                </c:pt>
                <c:pt idx="3">
                  <c:v>38</c:v>
                </c:pt>
                <c:pt idx="4">
                  <c:v>13</c:v>
                </c:pt>
                <c:pt idx="5">
                  <c:v>23</c:v>
                </c:pt>
                <c:pt idx="6">
                  <c:v>84</c:v>
                </c:pt>
                <c:pt idx="7">
                  <c:v>86</c:v>
                </c:pt>
                <c:pt idx="8">
                  <c:v>54</c:v>
                </c:pt>
                <c:pt idx="9">
                  <c:v>65</c:v>
                </c:pt>
                <c:pt idx="10">
                  <c:v>5</c:v>
                </c:pt>
                <c:pt idx="11">
                  <c:v>86</c:v>
                </c:pt>
                <c:pt idx="12">
                  <c:v>15</c:v>
                </c:pt>
                <c:pt idx="13">
                  <c:v>15</c:v>
                </c:pt>
                <c:pt idx="14">
                  <c:v>24</c:v>
                </c:pt>
                <c:pt idx="15">
                  <c:v>85</c:v>
                </c:pt>
                <c:pt idx="16">
                  <c:v>52</c:v>
                </c:pt>
                <c:pt idx="17">
                  <c:v>91</c:v>
                </c:pt>
                <c:pt idx="18">
                  <c:v>100</c:v>
                </c:pt>
                <c:pt idx="19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C4-47A5-849F-B59F62239B51}"/>
            </c:ext>
          </c:extLst>
        </c:ser>
        <c:ser>
          <c:idx val="2"/>
          <c:order val="2"/>
          <c:tx>
            <c:strRef>
              <c:f>Science!$D$4</c:f>
              <c:strCache>
                <c:ptCount val="1"/>
                <c:pt idx="0">
                  <c:v>Midterm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Science!$A$5:$A$24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Science!$D$5:$D$24</c:f>
              <c:numCache>
                <c:formatCode>General</c:formatCode>
                <c:ptCount val="20"/>
                <c:pt idx="0">
                  <c:v>2</c:v>
                </c:pt>
                <c:pt idx="1">
                  <c:v>27</c:v>
                </c:pt>
                <c:pt idx="2">
                  <c:v>37</c:v>
                </c:pt>
                <c:pt idx="3">
                  <c:v>38</c:v>
                </c:pt>
                <c:pt idx="4">
                  <c:v>55</c:v>
                </c:pt>
                <c:pt idx="5">
                  <c:v>51</c:v>
                </c:pt>
                <c:pt idx="6">
                  <c:v>63</c:v>
                </c:pt>
                <c:pt idx="7">
                  <c:v>76</c:v>
                </c:pt>
                <c:pt idx="8">
                  <c:v>97</c:v>
                </c:pt>
                <c:pt idx="9">
                  <c:v>40</c:v>
                </c:pt>
                <c:pt idx="10">
                  <c:v>9</c:v>
                </c:pt>
                <c:pt idx="11">
                  <c:v>46</c:v>
                </c:pt>
                <c:pt idx="12">
                  <c:v>60</c:v>
                </c:pt>
                <c:pt idx="13">
                  <c:v>20</c:v>
                </c:pt>
                <c:pt idx="14">
                  <c:v>91</c:v>
                </c:pt>
                <c:pt idx="15">
                  <c:v>21</c:v>
                </c:pt>
                <c:pt idx="16">
                  <c:v>28</c:v>
                </c:pt>
                <c:pt idx="17">
                  <c:v>14</c:v>
                </c:pt>
                <c:pt idx="18">
                  <c:v>1</c:v>
                </c:pt>
                <c:pt idx="19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C4-47A5-849F-B59F62239B51}"/>
            </c:ext>
          </c:extLst>
        </c:ser>
        <c:ser>
          <c:idx val="3"/>
          <c:order val="3"/>
          <c:tx>
            <c:strRef>
              <c:f>Science!$E$4</c:f>
              <c:strCache>
                <c:ptCount val="1"/>
                <c:pt idx="0">
                  <c:v>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Science!$A$5:$A$24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Science!$E$5:$E$24</c:f>
              <c:numCache>
                <c:formatCode>General</c:formatCode>
                <c:ptCount val="20"/>
                <c:pt idx="0">
                  <c:v>50</c:v>
                </c:pt>
                <c:pt idx="1">
                  <c:v>12</c:v>
                </c:pt>
                <c:pt idx="2">
                  <c:v>30</c:v>
                </c:pt>
                <c:pt idx="3">
                  <c:v>51</c:v>
                </c:pt>
                <c:pt idx="4">
                  <c:v>75</c:v>
                </c:pt>
                <c:pt idx="5">
                  <c:v>4</c:v>
                </c:pt>
                <c:pt idx="6">
                  <c:v>45</c:v>
                </c:pt>
                <c:pt idx="7">
                  <c:v>46</c:v>
                </c:pt>
                <c:pt idx="8">
                  <c:v>9</c:v>
                </c:pt>
                <c:pt idx="9">
                  <c:v>91</c:v>
                </c:pt>
                <c:pt idx="10">
                  <c:v>1</c:v>
                </c:pt>
                <c:pt idx="11">
                  <c:v>17</c:v>
                </c:pt>
                <c:pt idx="12">
                  <c:v>9</c:v>
                </c:pt>
                <c:pt idx="13">
                  <c:v>12</c:v>
                </c:pt>
                <c:pt idx="14">
                  <c:v>61</c:v>
                </c:pt>
                <c:pt idx="15">
                  <c:v>17</c:v>
                </c:pt>
                <c:pt idx="16">
                  <c:v>35</c:v>
                </c:pt>
                <c:pt idx="17">
                  <c:v>43</c:v>
                </c:pt>
                <c:pt idx="18">
                  <c:v>35</c:v>
                </c:pt>
                <c:pt idx="19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4C4-47A5-849F-B59F62239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5310048"/>
        <c:axId val="1855305248"/>
      </c:barChart>
      <c:lineChart>
        <c:grouping val="standard"/>
        <c:varyColors val="0"/>
        <c:ser>
          <c:idx val="4"/>
          <c:order val="4"/>
          <c:tx>
            <c:strRef>
              <c:f>Science!$F$4</c:f>
              <c:strCache>
                <c:ptCount val="1"/>
                <c:pt idx="0">
                  <c:v>Student Average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Science!$A$5:$A$24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Science!$F$5:$F$24</c:f>
              <c:numCache>
                <c:formatCode>General</c:formatCode>
                <c:ptCount val="20"/>
                <c:pt idx="0">
                  <c:v>30.5</c:v>
                </c:pt>
                <c:pt idx="1">
                  <c:v>47.25</c:v>
                </c:pt>
                <c:pt idx="2">
                  <c:v>43.5</c:v>
                </c:pt>
                <c:pt idx="3">
                  <c:v>34.25</c:v>
                </c:pt>
                <c:pt idx="4">
                  <c:v>50.5</c:v>
                </c:pt>
                <c:pt idx="5">
                  <c:v>40</c:v>
                </c:pt>
                <c:pt idx="6">
                  <c:v>72</c:v>
                </c:pt>
                <c:pt idx="7">
                  <c:v>76.25</c:v>
                </c:pt>
                <c:pt idx="8">
                  <c:v>62.5</c:v>
                </c:pt>
                <c:pt idx="9">
                  <c:v>60.5</c:v>
                </c:pt>
                <c:pt idx="10">
                  <c:v>28</c:v>
                </c:pt>
                <c:pt idx="11">
                  <c:v>46.5</c:v>
                </c:pt>
                <c:pt idx="12">
                  <c:v>29.25</c:v>
                </c:pt>
                <c:pt idx="13">
                  <c:v>15.25</c:v>
                </c:pt>
                <c:pt idx="14">
                  <c:v>45</c:v>
                </c:pt>
                <c:pt idx="15">
                  <c:v>44.25</c:v>
                </c:pt>
                <c:pt idx="16">
                  <c:v>51.5</c:v>
                </c:pt>
                <c:pt idx="17">
                  <c:v>47.75</c:v>
                </c:pt>
                <c:pt idx="18">
                  <c:v>52.25</c:v>
                </c:pt>
                <c:pt idx="19">
                  <c:v>38.5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C4-47A5-849F-B59F62239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5310048"/>
        <c:axId val="1855305248"/>
      </c:lineChart>
      <c:catAx>
        <c:axId val="185531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305248"/>
        <c:crosses val="autoZero"/>
        <c:auto val="1"/>
        <c:lblAlgn val="ctr"/>
        <c:lblOffset val="100"/>
        <c:noMultiLvlLbl val="0"/>
      </c:catAx>
      <c:valAx>
        <c:axId val="185530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31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Test1 Grades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Science!$B$4</c:f>
              <c:strCache>
                <c:ptCount val="1"/>
                <c:pt idx="0">
                  <c:v>Test1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Science!$A$5:$A$24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Science!$B$5:$B$24</c:f>
              <c:numCache>
                <c:formatCode>General</c:formatCode>
                <c:ptCount val="20"/>
                <c:pt idx="0">
                  <c:v>8</c:v>
                </c:pt>
                <c:pt idx="1">
                  <c:v>95</c:v>
                </c:pt>
                <c:pt idx="2">
                  <c:v>100</c:v>
                </c:pt>
                <c:pt idx="3">
                  <c:v>10</c:v>
                </c:pt>
                <c:pt idx="4">
                  <c:v>59</c:v>
                </c:pt>
                <c:pt idx="5">
                  <c:v>82</c:v>
                </c:pt>
                <c:pt idx="6">
                  <c:v>96</c:v>
                </c:pt>
                <c:pt idx="7">
                  <c:v>97</c:v>
                </c:pt>
                <c:pt idx="8">
                  <c:v>90</c:v>
                </c:pt>
                <c:pt idx="9">
                  <c:v>46</c:v>
                </c:pt>
                <c:pt idx="10">
                  <c:v>97</c:v>
                </c:pt>
                <c:pt idx="11">
                  <c:v>37</c:v>
                </c:pt>
                <c:pt idx="12">
                  <c:v>33</c:v>
                </c:pt>
                <c:pt idx="13">
                  <c:v>14</c:v>
                </c:pt>
                <c:pt idx="14">
                  <c:v>4</c:v>
                </c:pt>
                <c:pt idx="15">
                  <c:v>54</c:v>
                </c:pt>
                <c:pt idx="16">
                  <c:v>91</c:v>
                </c:pt>
                <c:pt idx="17">
                  <c:v>43</c:v>
                </c:pt>
                <c:pt idx="18">
                  <c:v>73</c:v>
                </c:pt>
                <c:pt idx="19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FF-4BF4-9664-85240D871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9179536"/>
        <c:axId val="2039182896"/>
      </c:barChart>
      <c:catAx>
        <c:axId val="203917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82896"/>
        <c:crosses val="autoZero"/>
        <c:auto val="1"/>
        <c:lblAlgn val="ctr"/>
        <c:lblOffset val="100"/>
        <c:noMultiLvlLbl val="0"/>
      </c:catAx>
      <c:valAx>
        <c:axId val="203918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7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Science!$C$4</c:f>
              <c:strCache>
                <c:ptCount val="1"/>
                <c:pt idx="0">
                  <c:v>Test2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Science!$A$5:$A$24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Science!$C$5:$C$24</c:f>
              <c:numCache>
                <c:formatCode>General</c:formatCode>
                <c:ptCount val="20"/>
                <c:pt idx="0">
                  <c:v>62</c:v>
                </c:pt>
                <c:pt idx="1">
                  <c:v>55</c:v>
                </c:pt>
                <c:pt idx="2">
                  <c:v>7</c:v>
                </c:pt>
                <c:pt idx="3">
                  <c:v>38</c:v>
                </c:pt>
                <c:pt idx="4">
                  <c:v>13</c:v>
                </c:pt>
                <c:pt idx="5">
                  <c:v>23</c:v>
                </c:pt>
                <c:pt idx="6">
                  <c:v>84</c:v>
                </c:pt>
                <c:pt idx="7">
                  <c:v>86</c:v>
                </c:pt>
                <c:pt idx="8">
                  <c:v>54</c:v>
                </c:pt>
                <c:pt idx="9">
                  <c:v>65</c:v>
                </c:pt>
                <c:pt idx="10">
                  <c:v>5</c:v>
                </c:pt>
                <c:pt idx="11">
                  <c:v>86</c:v>
                </c:pt>
                <c:pt idx="12">
                  <c:v>15</c:v>
                </c:pt>
                <c:pt idx="13">
                  <c:v>15</c:v>
                </c:pt>
                <c:pt idx="14">
                  <c:v>24</c:v>
                </c:pt>
                <c:pt idx="15">
                  <c:v>85</c:v>
                </c:pt>
                <c:pt idx="16">
                  <c:v>52</c:v>
                </c:pt>
                <c:pt idx="17">
                  <c:v>91</c:v>
                </c:pt>
                <c:pt idx="18">
                  <c:v>100</c:v>
                </c:pt>
                <c:pt idx="19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72-4D0C-A885-3A4520827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9193456"/>
        <c:axId val="2039203536"/>
      </c:barChart>
      <c:catAx>
        <c:axId val="203919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203536"/>
        <c:crosses val="autoZero"/>
        <c:auto val="1"/>
        <c:lblAlgn val="ctr"/>
        <c:lblOffset val="100"/>
        <c:noMultiLvlLbl val="0"/>
      </c:catAx>
      <c:valAx>
        <c:axId val="2039203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93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Midterm Grades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Science!$D$4</c:f>
              <c:strCache>
                <c:ptCount val="1"/>
                <c:pt idx="0">
                  <c:v>Midterm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Science!$A$5:$A$24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Science!$D$5:$D$24</c:f>
              <c:numCache>
                <c:formatCode>General</c:formatCode>
                <c:ptCount val="20"/>
                <c:pt idx="0">
                  <c:v>2</c:v>
                </c:pt>
                <c:pt idx="1">
                  <c:v>27</c:v>
                </c:pt>
                <c:pt idx="2">
                  <c:v>37</c:v>
                </c:pt>
                <c:pt idx="3">
                  <c:v>38</c:v>
                </c:pt>
                <c:pt idx="4">
                  <c:v>55</c:v>
                </c:pt>
                <c:pt idx="5">
                  <c:v>51</c:v>
                </c:pt>
                <c:pt idx="6">
                  <c:v>63</c:v>
                </c:pt>
                <c:pt idx="7">
                  <c:v>76</c:v>
                </c:pt>
                <c:pt idx="8">
                  <c:v>97</c:v>
                </c:pt>
                <c:pt idx="9">
                  <c:v>40</c:v>
                </c:pt>
                <c:pt idx="10">
                  <c:v>9</c:v>
                </c:pt>
                <c:pt idx="11">
                  <c:v>46</c:v>
                </c:pt>
                <c:pt idx="12">
                  <c:v>60</c:v>
                </c:pt>
                <c:pt idx="13">
                  <c:v>20</c:v>
                </c:pt>
                <c:pt idx="14">
                  <c:v>91</c:v>
                </c:pt>
                <c:pt idx="15">
                  <c:v>21</c:v>
                </c:pt>
                <c:pt idx="16">
                  <c:v>28</c:v>
                </c:pt>
                <c:pt idx="17">
                  <c:v>14</c:v>
                </c:pt>
                <c:pt idx="18">
                  <c:v>1</c:v>
                </c:pt>
                <c:pt idx="19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47-4083-A2F3-957EE422B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9163696"/>
        <c:axId val="2039173296"/>
      </c:barChart>
      <c:catAx>
        <c:axId val="203916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73296"/>
        <c:crosses val="autoZero"/>
        <c:auto val="1"/>
        <c:lblAlgn val="ctr"/>
        <c:lblOffset val="100"/>
        <c:noMultiLvlLbl val="0"/>
      </c:catAx>
      <c:valAx>
        <c:axId val="203917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6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Final Exam Grades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Science!$E$4</c:f>
              <c:strCache>
                <c:ptCount val="1"/>
                <c:pt idx="0">
                  <c:v>Final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Science!$A$5:$A$24</c:f>
              <c:strCache>
                <c:ptCount val="20"/>
                <c:pt idx="0">
                  <c:v>Aaliyah Khan</c:v>
                </c:pt>
                <c:pt idx="1">
                  <c:v>Elena Rodriguez</c:v>
                </c:pt>
                <c:pt idx="2">
                  <c:v>Chloe Mae</c:v>
                </c:pt>
                <c:pt idx="3">
                  <c:v>Zora Vance</c:v>
                </c:pt>
                <c:pt idx="4">
                  <c:v>Mei Lin</c:v>
                </c:pt>
                <c:pt idx="5">
                  <c:v>Isabella Layne</c:v>
                </c:pt>
                <c:pt idx="6">
                  <c:v>Fatime Al-Sayed</c:v>
                </c:pt>
                <c:pt idx="7">
                  <c:v>Sloane Emerson</c:v>
                </c:pt>
                <c:pt idx="8">
                  <c:v>Amara Okafor</c:v>
                </c:pt>
                <c:pt idx="9">
                  <c:v>Penelope Claire</c:v>
                </c:pt>
                <c:pt idx="10">
                  <c:v>Liam Christopher</c:v>
                </c:pt>
                <c:pt idx="11">
                  <c:v>Mateo Garcia</c:v>
                </c:pt>
                <c:pt idx="12">
                  <c:v>Aditya Prabhakar</c:v>
                </c:pt>
                <c:pt idx="13">
                  <c:v>Julian Caleb</c:v>
                </c:pt>
                <c:pt idx="14">
                  <c:v>Arlo Calloway</c:v>
                </c:pt>
                <c:pt idx="15">
                  <c:v>Kofi Mensah</c:v>
                </c:pt>
                <c:pt idx="16">
                  <c:v>Sebastian Vance</c:v>
                </c:pt>
                <c:pt idx="17">
                  <c:v>Xavier Smith</c:v>
                </c:pt>
                <c:pt idx="18">
                  <c:v>Declan Wesley</c:v>
                </c:pt>
                <c:pt idx="19">
                  <c:v>Hiroshi Tanaka</c:v>
                </c:pt>
              </c:strCache>
            </c:strRef>
          </c:cat>
          <c:val>
            <c:numRef>
              <c:f>Science!$E$5:$E$24</c:f>
              <c:numCache>
                <c:formatCode>General</c:formatCode>
                <c:ptCount val="20"/>
                <c:pt idx="0">
                  <c:v>50</c:v>
                </c:pt>
                <c:pt idx="1">
                  <c:v>12</c:v>
                </c:pt>
                <c:pt idx="2">
                  <c:v>30</c:v>
                </c:pt>
                <c:pt idx="3">
                  <c:v>51</c:v>
                </c:pt>
                <c:pt idx="4">
                  <c:v>75</c:v>
                </c:pt>
                <c:pt idx="5">
                  <c:v>4</c:v>
                </c:pt>
                <c:pt idx="6">
                  <c:v>45</c:v>
                </c:pt>
                <c:pt idx="7">
                  <c:v>46</c:v>
                </c:pt>
                <c:pt idx="8">
                  <c:v>9</c:v>
                </c:pt>
                <c:pt idx="9">
                  <c:v>91</c:v>
                </c:pt>
                <c:pt idx="10">
                  <c:v>1</c:v>
                </c:pt>
                <c:pt idx="11">
                  <c:v>17</c:v>
                </c:pt>
                <c:pt idx="12">
                  <c:v>9</c:v>
                </c:pt>
                <c:pt idx="13">
                  <c:v>12</c:v>
                </c:pt>
                <c:pt idx="14">
                  <c:v>61</c:v>
                </c:pt>
                <c:pt idx="15">
                  <c:v>17</c:v>
                </c:pt>
                <c:pt idx="16">
                  <c:v>35</c:v>
                </c:pt>
                <c:pt idx="17">
                  <c:v>43</c:v>
                </c:pt>
                <c:pt idx="18">
                  <c:v>35</c:v>
                </c:pt>
                <c:pt idx="19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21-4677-BBA1-3688C2890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9136336"/>
        <c:axId val="2039143056"/>
      </c:barChart>
      <c:catAx>
        <c:axId val="203913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43056"/>
        <c:crosses val="autoZero"/>
        <c:auto val="1"/>
        <c:lblAlgn val="ctr"/>
        <c:lblOffset val="100"/>
        <c:noMultiLvlLbl val="0"/>
      </c:catAx>
      <c:valAx>
        <c:axId val="203914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913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Class Averages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Class Averages</a:t>
          </a:r>
        </a:p>
      </cx:txPr>
    </cx:title>
    <cx:plotArea>
      <cx:plotAreaRegion>
        <cx:series layoutId="clusteredColumn" uniqueId="{24F6EE20-4898-445F-816F-D9D925E75DE3}">
          <cx:tx>
            <cx:txData>
              <cx:f>_xlchart.v1.1</cx:f>
              <cx:v>Student Average</cx:v>
            </cx:txData>
          </cx:tx>
          <cx:dataId val="0"/>
          <cx:layoutPr>
            <cx:aggregation/>
          </cx:layoutPr>
          <cx:axisId val="1"/>
        </cx:series>
        <cx:series layoutId="paretoLine" ownerIdx="0" uniqueId="{E797326E-C0A1-4E41-B423-4AE9E6B4C82D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>
      <cx:tx>
        <cx:txData>
          <cx:v>Class Averages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Class Averages</a:t>
          </a:r>
        </a:p>
      </cx:txPr>
    </cx:title>
    <cx:plotArea>
      <cx:plotAreaRegion>
        <cx:series layoutId="clusteredColumn" uniqueId="{24F6EE20-4898-445F-816F-D9D925E75DE3}">
          <cx:tx>
            <cx:txData>
              <cx:f>_xlchart.v1.4</cx:f>
              <cx:v>Student Average</cx:v>
            </cx:txData>
          </cx:tx>
          <cx:dataId val="0"/>
          <cx:layoutPr>
            <cx:aggregation/>
          </cx:layoutPr>
          <cx:axisId val="1"/>
        </cx:series>
        <cx:series layoutId="paretoLine" ownerIdx="0" uniqueId="{E797326E-C0A1-4E41-B423-4AE9E6B4C82D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txData>
          <cx:v>Class Averages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Class Averages</a:t>
          </a:r>
        </a:p>
      </cx:txPr>
    </cx:title>
    <cx:plotArea>
      <cx:plotAreaRegion>
        <cx:series layoutId="clusteredColumn" uniqueId="{24F6EE20-4898-445F-816F-D9D925E75DE3}">
          <cx:tx>
            <cx:txData>
              <cx:f>_xlchart.v1.7</cx:f>
              <cx:v>Student Average</cx:v>
            </cx:txData>
          </cx:tx>
          <cx:dataId val="0"/>
          <cx:layoutPr>
            <cx:aggregation/>
          </cx:layoutPr>
          <cx:axisId val="1"/>
        </cx:series>
        <cx:series layoutId="paretoLine" ownerIdx="0" uniqueId="{E797326E-C0A1-4E41-B423-4AE9E6B4C82D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microsoft.com/office/2014/relationships/chartEx" Target="../charts/chartEx2.xml"/><Relationship Id="rId1" Type="http://schemas.openxmlformats.org/officeDocument/2006/relationships/chart" Target="../charts/chart6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microsoft.com/office/2014/relationships/chartEx" Target="../charts/chartEx3.xml"/><Relationship Id="rId1" Type="http://schemas.openxmlformats.org/officeDocument/2006/relationships/chart" Target="../charts/chart11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3</xdr:row>
      <xdr:rowOff>133350</xdr:rowOff>
    </xdr:from>
    <xdr:to>
      <xdr:col>16</xdr:col>
      <xdr:colOff>466725</xdr:colOff>
      <xdr:row>18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7A8CE2-D093-42B2-9BA1-B223C7863A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168275</xdr:colOff>
      <xdr:row>19</xdr:row>
      <xdr:rowOff>152400</xdr:rowOff>
    </xdr:from>
    <xdr:to>
      <xdr:col>16</xdr:col>
      <xdr:colOff>473075</xdr:colOff>
      <xdr:row>34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EC759B6-E3D6-4881-A469-E0194CADF8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61225" y="36512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206375</xdr:colOff>
      <xdr:row>3</xdr:row>
      <xdr:rowOff>133350</xdr:rowOff>
    </xdr:from>
    <xdr:to>
      <xdr:col>24</xdr:col>
      <xdr:colOff>511175</xdr:colOff>
      <xdr:row>18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F6B2CB-5A07-4737-BA52-CAFE685D8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174625</xdr:colOff>
      <xdr:row>19</xdr:row>
      <xdr:rowOff>158750</xdr:rowOff>
    </xdr:from>
    <xdr:to>
      <xdr:col>24</xdr:col>
      <xdr:colOff>479425</xdr:colOff>
      <xdr:row>34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A16099-1413-4150-96A7-8F25CF4DA0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263525</xdr:colOff>
      <xdr:row>3</xdr:row>
      <xdr:rowOff>158750</xdr:rowOff>
    </xdr:from>
    <xdr:to>
      <xdr:col>32</xdr:col>
      <xdr:colOff>568325</xdr:colOff>
      <xdr:row>18</xdr:row>
      <xdr:rowOff>139700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C54ACF-4AEC-4B5A-BA98-D5C76BF74A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231775</xdr:colOff>
      <xdr:row>20</xdr:row>
      <xdr:rowOff>38100</xdr:rowOff>
    </xdr:from>
    <xdr:to>
      <xdr:col>32</xdr:col>
      <xdr:colOff>536575</xdr:colOff>
      <xdr:row>35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DF4EEBA-A88A-4740-B911-12CF37359F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3</xdr:row>
      <xdr:rowOff>133350</xdr:rowOff>
    </xdr:from>
    <xdr:to>
      <xdr:col>16</xdr:col>
      <xdr:colOff>466725</xdr:colOff>
      <xdr:row>18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05C707-9C24-7A81-08C7-FD7EC072DB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168275</xdr:colOff>
      <xdr:row>19</xdr:row>
      <xdr:rowOff>152400</xdr:rowOff>
    </xdr:from>
    <xdr:to>
      <xdr:col>16</xdr:col>
      <xdr:colOff>473075</xdr:colOff>
      <xdr:row>34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3765F384-A5BA-BE2F-EDD1-ECA40BF3F8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61225" y="36512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206375</xdr:colOff>
      <xdr:row>3</xdr:row>
      <xdr:rowOff>133350</xdr:rowOff>
    </xdr:from>
    <xdr:to>
      <xdr:col>24</xdr:col>
      <xdr:colOff>511175</xdr:colOff>
      <xdr:row>18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23B7FED-AB5B-6980-7A2C-C262EC0867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174625</xdr:colOff>
      <xdr:row>19</xdr:row>
      <xdr:rowOff>158750</xdr:rowOff>
    </xdr:from>
    <xdr:to>
      <xdr:col>24</xdr:col>
      <xdr:colOff>479425</xdr:colOff>
      <xdr:row>34</xdr:row>
      <xdr:rowOff>139700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8BE8051-2CEC-D165-5AFB-8D88FB33CF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263525</xdr:colOff>
      <xdr:row>3</xdr:row>
      <xdr:rowOff>158750</xdr:rowOff>
    </xdr:from>
    <xdr:to>
      <xdr:col>32</xdr:col>
      <xdr:colOff>568325</xdr:colOff>
      <xdr:row>18</xdr:row>
      <xdr:rowOff>139700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46164FB-B1EF-5D3B-1BFD-F2CBCAE12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231775</xdr:colOff>
      <xdr:row>20</xdr:row>
      <xdr:rowOff>38100</xdr:rowOff>
    </xdr:from>
    <xdr:to>
      <xdr:col>32</xdr:col>
      <xdr:colOff>536575</xdr:colOff>
      <xdr:row>35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010A322-F572-CF46-7A26-F10E6A2BB5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3</xdr:row>
      <xdr:rowOff>133350</xdr:rowOff>
    </xdr:from>
    <xdr:to>
      <xdr:col>16</xdr:col>
      <xdr:colOff>466725</xdr:colOff>
      <xdr:row>18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92898E-DF11-4E67-9B39-0BE9CE0CCF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168275</xdr:colOff>
      <xdr:row>19</xdr:row>
      <xdr:rowOff>152400</xdr:rowOff>
    </xdr:from>
    <xdr:to>
      <xdr:col>16</xdr:col>
      <xdr:colOff>473075</xdr:colOff>
      <xdr:row>34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6649E97-5095-42DA-B2DA-93A08F5524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61225" y="36512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206375</xdr:colOff>
      <xdr:row>3</xdr:row>
      <xdr:rowOff>133350</xdr:rowOff>
    </xdr:from>
    <xdr:to>
      <xdr:col>24</xdr:col>
      <xdr:colOff>511175</xdr:colOff>
      <xdr:row>18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A24050-A60C-4328-9618-D6FF911837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174625</xdr:colOff>
      <xdr:row>19</xdr:row>
      <xdr:rowOff>158750</xdr:rowOff>
    </xdr:from>
    <xdr:to>
      <xdr:col>24</xdr:col>
      <xdr:colOff>479425</xdr:colOff>
      <xdr:row>34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BD0E4EB-2DF7-47BD-AABE-7CBF59BD3E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263525</xdr:colOff>
      <xdr:row>3</xdr:row>
      <xdr:rowOff>158750</xdr:rowOff>
    </xdr:from>
    <xdr:to>
      <xdr:col>32</xdr:col>
      <xdr:colOff>568325</xdr:colOff>
      <xdr:row>18</xdr:row>
      <xdr:rowOff>139700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82B102D-F57D-4E60-8457-0EB57B65F3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231775</xdr:colOff>
      <xdr:row>20</xdr:row>
      <xdr:rowOff>38100</xdr:rowOff>
    </xdr:from>
    <xdr:to>
      <xdr:col>32</xdr:col>
      <xdr:colOff>536575</xdr:colOff>
      <xdr:row>35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DD88F7E-7CB9-4A41-93F2-1B16205CC8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90DA18-8C27-461B-882F-B98D07FE0B4E}" name="Table15" displayName="Table15" ref="A4:F24" totalsRowShown="0">
  <autoFilter ref="A4:F24" xr:uid="{58F2CED3-56F9-4D43-A607-A55C524181E3}"/>
  <tableColumns count="6">
    <tableColumn id="1" xr3:uid="{A08121C0-9C9E-46E3-8933-8E9B5F560C30}" name="Student Name"/>
    <tableColumn id="2" xr3:uid="{C42C295B-3E20-4453-8FC7-5A31689A27BA}" name="Test1">
      <calculatedColumnFormula>RANDBETWEEN(0,100)</calculatedColumnFormula>
    </tableColumn>
    <tableColumn id="3" xr3:uid="{F06250D2-197E-406A-8A82-F73E6FCDCA1A}" name="Test2">
      <calculatedColumnFormula>RANDBETWEEN(0,100)</calculatedColumnFormula>
    </tableColumn>
    <tableColumn id="4" xr3:uid="{2391FE11-7207-4B48-84F6-2B39FE6AD993}" name="Midterm">
      <calculatedColumnFormula>RANDBETWEEN(0,100)</calculatedColumnFormula>
    </tableColumn>
    <tableColumn id="5" xr3:uid="{4E6334B4-4987-4B07-BEBB-B487210ED2DB}" name="Final">
      <calculatedColumnFormula>RANDBETWEEN(0,100)</calculatedColumnFormula>
    </tableColumn>
    <tableColumn id="6" xr3:uid="{F5AAE464-64CB-49EB-8FAD-034DCE92AEBA}" name="Student Average">
      <calculatedColumnFormula>AVERAGE(B5:E5)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F2CED3-56F9-4D43-A607-A55C524181E3}" name="Table1" displayName="Table1" ref="A4:F24" totalsRowShown="0">
  <autoFilter ref="A4:F24" xr:uid="{58F2CED3-56F9-4D43-A607-A55C524181E3}"/>
  <tableColumns count="6">
    <tableColumn id="1" xr3:uid="{58AB1B55-7F8F-4D0F-A5E1-29DF0E259986}" name="Student Name"/>
    <tableColumn id="2" xr3:uid="{59B0A4B6-355C-4C66-8725-6CADBAAAE922}" name="Test1">
      <calculatedColumnFormula>RANDBETWEEN(0,100)</calculatedColumnFormula>
    </tableColumn>
    <tableColumn id="3" xr3:uid="{86BBEF3B-E6E0-459E-968D-26E94B467B64}" name="Test2">
      <calculatedColumnFormula>RANDBETWEEN(0,100)</calculatedColumnFormula>
    </tableColumn>
    <tableColumn id="4" xr3:uid="{E2005ACA-D4C7-4727-9872-6DEA8145FD6E}" name="Midterm">
      <calculatedColumnFormula>RANDBETWEEN(0,100)</calculatedColumnFormula>
    </tableColumn>
    <tableColumn id="5" xr3:uid="{8F995999-384C-411C-A9EB-1366514279C0}" name="Final">
      <calculatedColumnFormula>RANDBETWEEN(0,100)</calculatedColumnFormula>
    </tableColumn>
    <tableColumn id="6" xr3:uid="{241CD07A-2673-4882-886F-D8B61BE39F56}" name="Student Average">
      <calculatedColumnFormula>AVERAGE(B5:E5)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572D07C-4F87-431C-AD36-E25D4F1E4581}" name="Table16" displayName="Table16" ref="A4:F24" totalsRowShown="0">
  <autoFilter ref="A4:F24" xr:uid="{58F2CED3-56F9-4D43-A607-A55C524181E3}"/>
  <tableColumns count="6">
    <tableColumn id="1" xr3:uid="{447311EB-19B8-480B-904D-27425A0B7A8E}" name="Student Name"/>
    <tableColumn id="2" xr3:uid="{F403A462-1F5E-4100-A6F5-E0DA3BD08A94}" name="Test1">
      <calculatedColumnFormula>RANDBETWEEN(0,100)</calculatedColumnFormula>
    </tableColumn>
    <tableColumn id="3" xr3:uid="{5455548E-DC4D-4641-9501-C7DA4960CDE4}" name="Test2">
      <calculatedColumnFormula>RANDBETWEEN(0,100)</calculatedColumnFormula>
    </tableColumn>
    <tableColumn id="4" xr3:uid="{2CBA9233-C4A0-4C4C-828F-76EF5792C621}" name="Midterm">
      <calculatedColumnFormula>RANDBETWEEN(0,100)</calculatedColumnFormula>
    </tableColumn>
    <tableColumn id="5" xr3:uid="{2FE6B765-8DA6-4BBD-9E50-71CC7DBE2BB2}" name="Final">
      <calculatedColumnFormula>RANDBETWEEN(0,100)</calculatedColumnFormula>
    </tableColumn>
    <tableColumn id="6" xr3:uid="{434F99CF-1D21-4260-9B33-1E6BD1AE4BCF}" name="Student Average">
      <calculatedColumnFormula>AVERAGE(B5:E5)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  <wetp:taskpane dockstate="right" visibility="0" width="525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67CE46B-638D-45FF-873F-152E681603E6}">
  <we:reference id="wa200007447" version="1.1.6.6" store="en-US" storeType="OMEX"/>
  <we:alternateReferences>
    <we:reference id="wa200007447" version="1.1.6.6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_xldudf_BOARDFLARE_EXEC</we:customFunctionIds>
        <we:customFunctionIds>_xldudf_BOARDFLARE_RUNPY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852677C7-743A-4EEF-8168-6E02458B2278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FQ1N9PdP1b6eEoVp4RDlI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8DA8C-7A69-47D0-8C6F-5D1516AEE009}">
  <dimension ref="A1:B6"/>
  <sheetViews>
    <sheetView tabSelected="1" workbookViewId="0">
      <selection activeCell="A4" sqref="A4"/>
    </sheetView>
  </sheetViews>
  <sheetFormatPr defaultRowHeight="14.5" x14ac:dyDescent="0.35"/>
  <cols>
    <col min="1" max="1" width="44.1796875" customWidth="1"/>
    <col min="2" max="2" width="16.81640625" customWidth="1"/>
  </cols>
  <sheetData>
    <row r="1" spans="1:2" ht="47.5" x14ac:dyDescent="1.1000000000000001">
      <c r="A1" s="5" t="s">
        <v>35</v>
      </c>
      <c r="B1" s="5"/>
    </row>
    <row r="2" spans="1:2" ht="31" x14ac:dyDescent="0.7">
      <c r="A2" s="6" t="s">
        <v>36</v>
      </c>
      <c r="B2" s="6"/>
    </row>
    <row r="4" spans="1:2" ht="26" x14ac:dyDescent="0.6">
      <c r="A4" s="4" t="s">
        <v>34</v>
      </c>
    </row>
    <row r="5" spans="1:2" ht="26" x14ac:dyDescent="0.6">
      <c r="A5" s="4" t="s">
        <v>37</v>
      </c>
    </row>
    <row r="6" spans="1:2" ht="26" x14ac:dyDescent="0.6">
      <c r="A6" s="4" t="s">
        <v>38</v>
      </c>
    </row>
  </sheetData>
  <mergeCells count="2">
    <mergeCell ref="A1:B1"/>
    <mergeCell ref="A2:B2"/>
  </mergeCells>
  <hyperlinks>
    <hyperlink ref="A4" location="Science!A1" display="Science" xr:uid="{30ABA415-2885-4367-8A50-BE6D783B42A7}"/>
    <hyperlink ref="A5" location="Mathematics!A5" display="Mathematics" xr:uid="{19AE04CF-958F-4E4C-8300-ECAD749135BA}"/>
    <hyperlink ref="A6" location="English!A6" display="English" xr:uid="{31D2DE70-AA06-43DF-AC6E-F3E8089E171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E31EC-97F6-45A4-8E83-3CA9423867BF}">
  <dimension ref="A2:R28"/>
  <sheetViews>
    <sheetView topLeftCell="A10" zoomScaleNormal="100" workbookViewId="0">
      <selection activeCell="I11" sqref="I11"/>
    </sheetView>
  </sheetViews>
  <sheetFormatPr defaultRowHeight="14.5" x14ac:dyDescent="0.35"/>
  <cols>
    <col min="1" max="1" width="13.7265625" customWidth="1"/>
    <col min="2" max="2" width="9.1796875" customWidth="1"/>
    <col min="4" max="4" width="9.81640625" customWidth="1"/>
    <col min="5" max="5" width="12.36328125" customWidth="1"/>
    <col min="6" max="6" width="16.36328125" customWidth="1"/>
    <col min="7" max="7" width="13.90625" customWidth="1"/>
  </cols>
  <sheetData>
    <row r="2" spans="1:18" x14ac:dyDescent="0.35">
      <c r="A2" s="2" t="s">
        <v>32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35">
      <c r="A3" s="3" t="s">
        <v>29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8" x14ac:dyDescent="0.35">
      <c r="A4" t="s">
        <v>31</v>
      </c>
      <c r="B4" t="s">
        <v>25</v>
      </c>
      <c r="C4" t="s">
        <v>21</v>
      </c>
      <c r="D4" t="s">
        <v>22</v>
      </c>
      <c r="E4" t="s">
        <v>23</v>
      </c>
      <c r="F4" t="s">
        <v>28</v>
      </c>
      <c r="G4" t="s">
        <v>30</v>
      </c>
    </row>
    <row r="5" spans="1:18" x14ac:dyDescent="0.35">
      <c r="A5" s="1" t="s">
        <v>0</v>
      </c>
      <c r="B5">
        <f ca="1">RANDBETWEEN(0,100)</f>
        <v>76</v>
      </c>
      <c r="C5">
        <f t="shared" ref="C5:E20" ca="1" si="0">RANDBETWEEN(0,100)</f>
        <v>98</v>
      </c>
      <c r="D5">
        <f t="shared" ca="1" si="0"/>
        <v>94</v>
      </c>
      <c r="E5">
        <f t="shared" ca="1" si="0"/>
        <v>15</v>
      </c>
      <c r="F5">
        <f ca="1">AVERAGE(B5:E5)</f>
        <v>70.75</v>
      </c>
      <c r="G5" t="str">
        <f ca="1">IF(F5 &lt;50,"Fail", "Pass")</f>
        <v>Pass</v>
      </c>
    </row>
    <row r="6" spans="1:18" x14ac:dyDescent="0.35">
      <c r="A6" t="s">
        <v>1</v>
      </c>
      <c r="B6">
        <f t="shared" ref="B6:E24" ca="1" si="1">RANDBETWEEN(0,100)</f>
        <v>4</v>
      </c>
      <c r="C6">
        <f t="shared" ca="1" si="0"/>
        <v>74</v>
      </c>
      <c r="D6">
        <f t="shared" ca="1" si="0"/>
        <v>2</v>
      </c>
      <c r="E6">
        <f t="shared" ca="1" si="0"/>
        <v>73</v>
      </c>
      <c r="F6">
        <f t="shared" ref="F6:F24" ca="1" si="2">AVERAGE(B6:E6)</f>
        <v>38.25</v>
      </c>
      <c r="G6" t="str">
        <f t="shared" ref="G6:G24" ca="1" si="3">IF(F6 &lt;50,"Fail", "Pass")</f>
        <v>Fail</v>
      </c>
    </row>
    <row r="7" spans="1:18" x14ac:dyDescent="0.35">
      <c r="A7" t="s">
        <v>2</v>
      </c>
      <c r="B7">
        <f t="shared" ca="1" si="1"/>
        <v>97</v>
      </c>
      <c r="C7">
        <f t="shared" ca="1" si="0"/>
        <v>79</v>
      </c>
      <c r="D7">
        <f t="shared" ca="1" si="0"/>
        <v>21</v>
      </c>
      <c r="E7">
        <f t="shared" ca="1" si="0"/>
        <v>18</v>
      </c>
      <c r="F7">
        <f t="shared" ca="1" si="2"/>
        <v>53.75</v>
      </c>
      <c r="G7" t="str">
        <f t="shared" ca="1" si="3"/>
        <v>Pass</v>
      </c>
    </row>
    <row r="8" spans="1:18" x14ac:dyDescent="0.35">
      <c r="A8" t="s">
        <v>3</v>
      </c>
      <c r="B8">
        <f t="shared" ca="1" si="1"/>
        <v>79</v>
      </c>
      <c r="C8">
        <f t="shared" ca="1" si="0"/>
        <v>43</v>
      </c>
      <c r="D8">
        <f t="shared" ca="1" si="0"/>
        <v>100</v>
      </c>
      <c r="E8">
        <f t="shared" ca="1" si="0"/>
        <v>90</v>
      </c>
      <c r="F8">
        <f t="shared" ca="1" si="2"/>
        <v>78</v>
      </c>
      <c r="G8" t="str">
        <f t="shared" ca="1" si="3"/>
        <v>Pass</v>
      </c>
    </row>
    <row r="9" spans="1:18" x14ac:dyDescent="0.35">
      <c r="A9" t="s">
        <v>4</v>
      </c>
      <c r="B9">
        <f t="shared" ca="1" si="1"/>
        <v>74</v>
      </c>
      <c r="C9">
        <f t="shared" ca="1" si="0"/>
        <v>54</v>
      </c>
      <c r="D9">
        <f t="shared" ca="1" si="0"/>
        <v>1</v>
      </c>
      <c r="E9">
        <f t="shared" ca="1" si="0"/>
        <v>30</v>
      </c>
      <c r="F9">
        <f t="shared" ca="1" si="2"/>
        <v>39.75</v>
      </c>
      <c r="G9" t="str">
        <f t="shared" ca="1" si="3"/>
        <v>Fail</v>
      </c>
    </row>
    <row r="10" spans="1:18" x14ac:dyDescent="0.35">
      <c r="A10" t="s">
        <v>5</v>
      </c>
      <c r="B10">
        <f t="shared" ca="1" si="1"/>
        <v>0</v>
      </c>
      <c r="C10">
        <f t="shared" ca="1" si="0"/>
        <v>90</v>
      </c>
      <c r="D10">
        <f t="shared" ca="1" si="0"/>
        <v>30</v>
      </c>
      <c r="E10">
        <f t="shared" ca="1" si="0"/>
        <v>89</v>
      </c>
      <c r="F10">
        <f t="shared" ca="1" si="2"/>
        <v>52.25</v>
      </c>
      <c r="G10" t="str">
        <f t="shared" ca="1" si="3"/>
        <v>Pass</v>
      </c>
    </row>
    <row r="11" spans="1:18" x14ac:dyDescent="0.35">
      <c r="A11" t="s">
        <v>6</v>
      </c>
      <c r="B11">
        <f t="shared" ca="1" si="1"/>
        <v>70</v>
      </c>
      <c r="C11">
        <f t="shared" ca="1" si="0"/>
        <v>76</v>
      </c>
      <c r="D11">
        <f t="shared" ca="1" si="0"/>
        <v>73</v>
      </c>
      <c r="E11">
        <f t="shared" ca="1" si="0"/>
        <v>0</v>
      </c>
      <c r="F11">
        <f t="shared" ca="1" si="2"/>
        <v>54.75</v>
      </c>
      <c r="G11" t="str">
        <f t="shared" ca="1" si="3"/>
        <v>Pass</v>
      </c>
    </row>
    <row r="12" spans="1:18" x14ac:dyDescent="0.35">
      <c r="A12" t="s">
        <v>7</v>
      </c>
      <c r="B12">
        <f t="shared" ca="1" si="1"/>
        <v>49</v>
      </c>
      <c r="C12">
        <f t="shared" ca="1" si="0"/>
        <v>33</v>
      </c>
      <c r="D12">
        <f t="shared" ca="1" si="0"/>
        <v>32</v>
      </c>
      <c r="E12">
        <f t="shared" ca="1" si="0"/>
        <v>51</v>
      </c>
      <c r="F12">
        <f t="shared" ca="1" si="2"/>
        <v>41.25</v>
      </c>
      <c r="G12" t="str">
        <f t="shared" ca="1" si="3"/>
        <v>Fail</v>
      </c>
    </row>
    <row r="13" spans="1:18" x14ac:dyDescent="0.35">
      <c r="A13" t="s">
        <v>8</v>
      </c>
      <c r="B13">
        <f t="shared" ca="1" si="1"/>
        <v>9</v>
      </c>
      <c r="C13">
        <f t="shared" ca="1" si="0"/>
        <v>82</v>
      </c>
      <c r="D13">
        <f t="shared" ca="1" si="0"/>
        <v>95</v>
      </c>
      <c r="E13">
        <f t="shared" ca="1" si="0"/>
        <v>28</v>
      </c>
      <c r="F13">
        <f t="shared" ca="1" si="2"/>
        <v>53.5</v>
      </c>
      <c r="G13" t="str">
        <f t="shared" ca="1" si="3"/>
        <v>Pass</v>
      </c>
    </row>
    <row r="14" spans="1:18" x14ac:dyDescent="0.35">
      <c r="A14" t="s">
        <v>9</v>
      </c>
      <c r="B14">
        <f t="shared" ca="1" si="1"/>
        <v>62</v>
      </c>
      <c r="C14">
        <f t="shared" ca="1" si="0"/>
        <v>65</v>
      </c>
      <c r="D14">
        <f t="shared" ca="1" si="0"/>
        <v>54</v>
      </c>
      <c r="E14">
        <f t="shared" ca="1" si="0"/>
        <v>97</v>
      </c>
      <c r="F14">
        <f t="shared" ca="1" si="2"/>
        <v>69.5</v>
      </c>
      <c r="G14" t="str">
        <f t="shared" ca="1" si="3"/>
        <v>Pass</v>
      </c>
    </row>
    <row r="15" spans="1:18" x14ac:dyDescent="0.35">
      <c r="A15" t="s">
        <v>10</v>
      </c>
      <c r="B15">
        <f t="shared" ca="1" si="1"/>
        <v>4</v>
      </c>
      <c r="C15">
        <f t="shared" ca="1" si="0"/>
        <v>34</v>
      </c>
      <c r="D15">
        <f t="shared" ca="1" si="0"/>
        <v>6</v>
      </c>
      <c r="E15">
        <f t="shared" ca="1" si="0"/>
        <v>78</v>
      </c>
      <c r="F15">
        <f t="shared" ca="1" si="2"/>
        <v>30.5</v>
      </c>
      <c r="G15" t="str">
        <f t="shared" ca="1" si="3"/>
        <v>Fail</v>
      </c>
    </row>
    <row r="16" spans="1:18" x14ac:dyDescent="0.35">
      <c r="A16" t="s">
        <v>11</v>
      </c>
      <c r="B16">
        <f t="shared" ca="1" si="1"/>
        <v>58</v>
      </c>
      <c r="C16">
        <f t="shared" ca="1" si="0"/>
        <v>58</v>
      </c>
      <c r="D16">
        <f t="shared" ca="1" si="0"/>
        <v>43</v>
      </c>
      <c r="E16">
        <f t="shared" ca="1" si="0"/>
        <v>84</v>
      </c>
      <c r="F16">
        <f t="shared" ca="1" si="2"/>
        <v>60.75</v>
      </c>
      <c r="G16" t="str">
        <f t="shared" ca="1" si="3"/>
        <v>Pass</v>
      </c>
    </row>
    <row r="17" spans="1:7" x14ac:dyDescent="0.35">
      <c r="A17" t="s">
        <v>12</v>
      </c>
      <c r="B17">
        <f t="shared" ca="1" si="1"/>
        <v>18</v>
      </c>
      <c r="C17">
        <f t="shared" ca="1" si="0"/>
        <v>34</v>
      </c>
      <c r="D17">
        <f t="shared" ca="1" si="0"/>
        <v>86</v>
      </c>
      <c r="E17">
        <f t="shared" ca="1" si="0"/>
        <v>70</v>
      </c>
      <c r="F17">
        <f t="shared" ca="1" si="2"/>
        <v>52</v>
      </c>
      <c r="G17" t="str">
        <f t="shared" ca="1" si="3"/>
        <v>Pass</v>
      </c>
    </row>
    <row r="18" spans="1:7" x14ac:dyDescent="0.35">
      <c r="A18" t="s">
        <v>13</v>
      </c>
      <c r="B18">
        <f t="shared" ca="1" si="1"/>
        <v>33</v>
      </c>
      <c r="C18">
        <f t="shared" ca="1" si="0"/>
        <v>65</v>
      </c>
      <c r="D18">
        <f t="shared" ca="1" si="0"/>
        <v>77</v>
      </c>
      <c r="E18">
        <f t="shared" ca="1" si="0"/>
        <v>59</v>
      </c>
      <c r="F18">
        <f t="shared" ca="1" si="2"/>
        <v>58.5</v>
      </c>
      <c r="G18" t="str">
        <f t="shared" ca="1" si="3"/>
        <v>Pass</v>
      </c>
    </row>
    <row r="19" spans="1:7" x14ac:dyDescent="0.35">
      <c r="A19" t="s">
        <v>14</v>
      </c>
      <c r="B19">
        <f t="shared" ca="1" si="1"/>
        <v>85</v>
      </c>
      <c r="C19">
        <f t="shared" ca="1" si="0"/>
        <v>25</v>
      </c>
      <c r="D19">
        <f t="shared" ca="1" si="0"/>
        <v>0</v>
      </c>
      <c r="E19">
        <f t="shared" ca="1" si="0"/>
        <v>17</v>
      </c>
      <c r="F19">
        <f t="shared" ca="1" si="2"/>
        <v>31.75</v>
      </c>
      <c r="G19" t="str">
        <f t="shared" ca="1" si="3"/>
        <v>Fail</v>
      </c>
    </row>
    <row r="20" spans="1:7" x14ac:dyDescent="0.35">
      <c r="A20" t="s">
        <v>15</v>
      </c>
      <c r="B20">
        <f t="shared" ca="1" si="1"/>
        <v>60</v>
      </c>
      <c r="C20">
        <f t="shared" ca="1" si="0"/>
        <v>24</v>
      </c>
      <c r="D20">
        <f t="shared" ca="1" si="0"/>
        <v>38</v>
      </c>
      <c r="E20">
        <f t="shared" ca="1" si="0"/>
        <v>84</v>
      </c>
      <c r="F20">
        <f t="shared" ca="1" si="2"/>
        <v>51.5</v>
      </c>
      <c r="G20" t="str">
        <f t="shared" ca="1" si="3"/>
        <v>Pass</v>
      </c>
    </row>
    <row r="21" spans="1:7" x14ac:dyDescent="0.35">
      <c r="A21" t="s">
        <v>16</v>
      </c>
      <c r="B21">
        <f t="shared" ca="1" si="1"/>
        <v>60</v>
      </c>
      <c r="C21">
        <f t="shared" ca="1" si="1"/>
        <v>46</v>
      </c>
      <c r="D21">
        <f t="shared" ca="1" si="1"/>
        <v>3</v>
      </c>
      <c r="E21">
        <f t="shared" ca="1" si="1"/>
        <v>57</v>
      </c>
      <c r="F21">
        <f t="shared" ca="1" si="2"/>
        <v>41.5</v>
      </c>
      <c r="G21" t="str">
        <f t="shared" ca="1" si="3"/>
        <v>Fail</v>
      </c>
    </row>
    <row r="22" spans="1:7" x14ac:dyDescent="0.35">
      <c r="A22" t="s">
        <v>17</v>
      </c>
      <c r="B22">
        <f t="shared" ca="1" si="1"/>
        <v>99</v>
      </c>
      <c r="C22">
        <f t="shared" ca="1" si="1"/>
        <v>65</v>
      </c>
      <c r="D22">
        <f t="shared" ca="1" si="1"/>
        <v>2</v>
      </c>
      <c r="E22">
        <f t="shared" ca="1" si="1"/>
        <v>54</v>
      </c>
      <c r="F22">
        <f t="shared" ca="1" si="2"/>
        <v>55</v>
      </c>
      <c r="G22" t="str">
        <f t="shared" ca="1" si="3"/>
        <v>Pass</v>
      </c>
    </row>
    <row r="23" spans="1:7" x14ac:dyDescent="0.35">
      <c r="A23" t="s">
        <v>18</v>
      </c>
      <c r="B23">
        <f t="shared" ca="1" si="1"/>
        <v>45</v>
      </c>
      <c r="C23">
        <f t="shared" ca="1" si="1"/>
        <v>86</v>
      </c>
      <c r="D23">
        <f t="shared" ca="1" si="1"/>
        <v>8</v>
      </c>
      <c r="E23">
        <f t="shared" ca="1" si="1"/>
        <v>68</v>
      </c>
      <c r="F23">
        <f t="shared" ca="1" si="2"/>
        <v>51.75</v>
      </c>
      <c r="G23" t="str">
        <f t="shared" ca="1" si="3"/>
        <v>Pass</v>
      </c>
    </row>
    <row r="24" spans="1:7" x14ac:dyDescent="0.35">
      <c r="A24" t="s">
        <v>19</v>
      </c>
      <c r="B24">
        <f t="shared" ca="1" si="1"/>
        <v>70</v>
      </c>
      <c r="C24">
        <f t="shared" ca="1" si="1"/>
        <v>17</v>
      </c>
      <c r="D24">
        <f t="shared" ca="1" si="1"/>
        <v>5</v>
      </c>
      <c r="E24">
        <f t="shared" ca="1" si="1"/>
        <v>41</v>
      </c>
      <c r="F24">
        <f t="shared" ca="1" si="2"/>
        <v>33.25</v>
      </c>
      <c r="G24" t="str">
        <f t="shared" ca="1" si="3"/>
        <v>Fail</v>
      </c>
    </row>
    <row r="26" spans="1:7" x14ac:dyDescent="0.35">
      <c r="A26" t="s">
        <v>24</v>
      </c>
      <c r="B26">
        <f ca="1">AVERAGE(B5:B24)</f>
        <v>52.6</v>
      </c>
      <c r="C26">
        <f t="shared" ref="C26:E26" ca="1" si="4">AVERAGE(C5:C24)</f>
        <v>57.4</v>
      </c>
      <c r="D26">
        <f t="shared" ca="1" si="4"/>
        <v>38.5</v>
      </c>
      <c r="E26">
        <f t="shared" ca="1" si="4"/>
        <v>55.15</v>
      </c>
    </row>
    <row r="27" spans="1:7" x14ac:dyDescent="0.35">
      <c r="A27" t="s">
        <v>26</v>
      </c>
      <c r="B27">
        <f ca="1">MIN(B5:B24)</f>
        <v>0</v>
      </c>
      <c r="C27">
        <f t="shared" ref="C27:E27" ca="1" si="5">MIN(C5:C24)</f>
        <v>17</v>
      </c>
      <c r="D27">
        <f t="shared" ca="1" si="5"/>
        <v>0</v>
      </c>
      <c r="E27">
        <f t="shared" ca="1" si="5"/>
        <v>0</v>
      </c>
    </row>
    <row r="28" spans="1:7" x14ac:dyDescent="0.35">
      <c r="A28" t="s">
        <v>27</v>
      </c>
      <c r="B28">
        <f ca="1">MAX(B5:B24)</f>
        <v>99</v>
      </c>
      <c r="C28">
        <f t="shared" ref="C28:E28" ca="1" si="6">MAX(C5:C24)</f>
        <v>98</v>
      </c>
      <c r="D28">
        <f t="shared" ca="1" si="6"/>
        <v>100</v>
      </c>
      <c r="E28">
        <f t="shared" ca="1" si="6"/>
        <v>97</v>
      </c>
    </row>
  </sheetData>
  <mergeCells count="2">
    <mergeCell ref="A2:R2"/>
    <mergeCell ref="A3:Q3"/>
  </mergeCells>
  <conditionalFormatting sqref="G5:G24">
    <cfRule type="containsText" dxfId="5" priority="1" operator="containsText" text="Pass">
      <formula>NOT(ISERROR(SEARCH("Pass",G5)))</formula>
    </cfRule>
    <cfRule type="containsText" dxfId="4" priority="2" operator="containsText" text="Fail">
      <formula>NOT(ISERROR(SEARCH("Fail",G5)))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7535-AFEA-46D4-AA12-3D044D056494}">
  <dimension ref="A2:R28"/>
  <sheetViews>
    <sheetView topLeftCell="F14" zoomScaleNormal="100" workbookViewId="0">
      <selection activeCell="E4" activeCellId="1" sqref="A4:A24 E4:E24"/>
    </sheetView>
  </sheetViews>
  <sheetFormatPr defaultRowHeight="14.5" x14ac:dyDescent="0.35"/>
  <cols>
    <col min="1" max="1" width="13.7265625" customWidth="1"/>
    <col min="2" max="2" width="9.1796875" customWidth="1"/>
    <col min="4" max="4" width="9.81640625" customWidth="1"/>
    <col min="5" max="5" width="12.36328125" customWidth="1"/>
    <col min="6" max="6" width="16.36328125" customWidth="1"/>
    <col min="7" max="7" width="13.90625" customWidth="1"/>
  </cols>
  <sheetData>
    <row r="2" spans="1:18" x14ac:dyDescent="0.35">
      <c r="A2" s="2" t="s">
        <v>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35">
      <c r="A3" s="3" t="s">
        <v>29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8" x14ac:dyDescent="0.35">
      <c r="A4" t="s">
        <v>31</v>
      </c>
      <c r="B4" t="s">
        <v>25</v>
      </c>
      <c r="C4" t="s">
        <v>21</v>
      </c>
      <c r="D4" t="s">
        <v>22</v>
      </c>
      <c r="E4" t="s">
        <v>23</v>
      </c>
      <c r="F4" t="s">
        <v>28</v>
      </c>
      <c r="G4" t="s">
        <v>30</v>
      </c>
    </row>
    <row r="5" spans="1:18" x14ac:dyDescent="0.35">
      <c r="A5" s="1" t="s">
        <v>0</v>
      </c>
      <c r="B5">
        <f ca="1">RANDBETWEEN(0,100)</f>
        <v>55</v>
      </c>
      <c r="C5">
        <f t="shared" ref="C5:E20" ca="1" si="0">RANDBETWEEN(0,100)</f>
        <v>55</v>
      </c>
      <c r="D5">
        <f t="shared" ca="1" si="0"/>
        <v>27</v>
      </c>
      <c r="E5">
        <f t="shared" ca="1" si="0"/>
        <v>20</v>
      </c>
      <c r="F5">
        <f ca="1">AVERAGE(B5:E5)</f>
        <v>39.25</v>
      </c>
      <c r="G5" t="str">
        <f ca="1">IF(F5 &lt;50,"Fail", "Pass")</f>
        <v>Fail</v>
      </c>
    </row>
    <row r="6" spans="1:18" x14ac:dyDescent="0.35">
      <c r="A6" t="s">
        <v>1</v>
      </c>
      <c r="B6">
        <f t="shared" ref="B6:E24" ca="1" si="1">RANDBETWEEN(0,100)</f>
        <v>38</v>
      </c>
      <c r="C6">
        <f t="shared" ca="1" si="0"/>
        <v>86</v>
      </c>
      <c r="D6">
        <f t="shared" ca="1" si="0"/>
        <v>6</v>
      </c>
      <c r="E6">
        <f t="shared" ca="1" si="0"/>
        <v>69</v>
      </c>
      <c r="F6">
        <f t="shared" ref="F6:F24" ca="1" si="2">AVERAGE(B6:E6)</f>
        <v>49.75</v>
      </c>
      <c r="G6" t="str">
        <f t="shared" ref="G6:G24" ca="1" si="3">IF(F6 &lt;50,"Fail", "Pass")</f>
        <v>Fail</v>
      </c>
    </row>
    <row r="7" spans="1:18" x14ac:dyDescent="0.35">
      <c r="A7" t="s">
        <v>2</v>
      </c>
      <c r="B7">
        <f t="shared" ca="1" si="1"/>
        <v>92</v>
      </c>
      <c r="C7">
        <f t="shared" ca="1" si="0"/>
        <v>37</v>
      </c>
      <c r="D7">
        <f t="shared" ca="1" si="0"/>
        <v>54</v>
      </c>
      <c r="E7">
        <f t="shared" ca="1" si="0"/>
        <v>15</v>
      </c>
      <c r="F7">
        <f t="shared" ca="1" si="2"/>
        <v>49.5</v>
      </c>
      <c r="G7" t="str">
        <f t="shared" ca="1" si="3"/>
        <v>Fail</v>
      </c>
    </row>
    <row r="8" spans="1:18" x14ac:dyDescent="0.35">
      <c r="A8" t="s">
        <v>3</v>
      </c>
      <c r="B8">
        <f t="shared" ca="1" si="1"/>
        <v>21</v>
      </c>
      <c r="C8">
        <f t="shared" ca="1" si="0"/>
        <v>41</v>
      </c>
      <c r="D8">
        <f t="shared" ca="1" si="0"/>
        <v>2</v>
      </c>
      <c r="E8">
        <f t="shared" ca="1" si="0"/>
        <v>40</v>
      </c>
      <c r="F8">
        <f t="shared" ca="1" si="2"/>
        <v>26</v>
      </c>
      <c r="G8" t="str">
        <f t="shared" ca="1" si="3"/>
        <v>Fail</v>
      </c>
    </row>
    <row r="9" spans="1:18" x14ac:dyDescent="0.35">
      <c r="A9" t="s">
        <v>4</v>
      </c>
      <c r="B9">
        <f t="shared" ca="1" si="1"/>
        <v>55</v>
      </c>
      <c r="C9">
        <f t="shared" ca="1" si="0"/>
        <v>28</v>
      </c>
      <c r="D9">
        <f t="shared" ca="1" si="0"/>
        <v>60</v>
      </c>
      <c r="E9">
        <f t="shared" ca="1" si="0"/>
        <v>26</v>
      </c>
      <c r="F9">
        <f t="shared" ca="1" si="2"/>
        <v>42.25</v>
      </c>
      <c r="G9" t="str">
        <f t="shared" ca="1" si="3"/>
        <v>Fail</v>
      </c>
    </row>
    <row r="10" spans="1:18" x14ac:dyDescent="0.35">
      <c r="A10" t="s">
        <v>5</v>
      </c>
      <c r="B10">
        <f t="shared" ca="1" si="1"/>
        <v>20</v>
      </c>
      <c r="C10">
        <f t="shared" ca="1" si="0"/>
        <v>36</v>
      </c>
      <c r="D10">
        <f t="shared" ca="1" si="0"/>
        <v>35</v>
      </c>
      <c r="E10">
        <f t="shared" ca="1" si="0"/>
        <v>100</v>
      </c>
      <c r="F10">
        <f t="shared" ca="1" si="2"/>
        <v>47.75</v>
      </c>
      <c r="G10" t="str">
        <f t="shared" ca="1" si="3"/>
        <v>Fail</v>
      </c>
    </row>
    <row r="11" spans="1:18" x14ac:dyDescent="0.35">
      <c r="A11" t="s">
        <v>6</v>
      </c>
      <c r="B11">
        <f t="shared" ca="1" si="1"/>
        <v>20</v>
      </c>
      <c r="C11">
        <f t="shared" ca="1" si="0"/>
        <v>80</v>
      </c>
      <c r="D11">
        <f t="shared" ca="1" si="0"/>
        <v>18</v>
      </c>
      <c r="E11">
        <f t="shared" ca="1" si="0"/>
        <v>11</v>
      </c>
      <c r="F11">
        <f t="shared" ca="1" si="2"/>
        <v>32.25</v>
      </c>
      <c r="G11" t="str">
        <f t="shared" ca="1" si="3"/>
        <v>Fail</v>
      </c>
    </row>
    <row r="12" spans="1:18" x14ac:dyDescent="0.35">
      <c r="A12" t="s">
        <v>7</v>
      </c>
      <c r="B12">
        <f t="shared" ca="1" si="1"/>
        <v>4</v>
      </c>
      <c r="C12">
        <f t="shared" ca="1" si="0"/>
        <v>85</v>
      </c>
      <c r="D12">
        <f t="shared" ca="1" si="0"/>
        <v>35</v>
      </c>
      <c r="E12">
        <f t="shared" ca="1" si="0"/>
        <v>77</v>
      </c>
      <c r="F12">
        <f t="shared" ca="1" si="2"/>
        <v>50.25</v>
      </c>
      <c r="G12" t="str">
        <f t="shared" ca="1" si="3"/>
        <v>Pass</v>
      </c>
    </row>
    <row r="13" spans="1:18" x14ac:dyDescent="0.35">
      <c r="A13" t="s">
        <v>8</v>
      </c>
      <c r="B13">
        <f t="shared" ca="1" si="1"/>
        <v>79</v>
      </c>
      <c r="C13">
        <f t="shared" ca="1" si="0"/>
        <v>2</v>
      </c>
      <c r="D13">
        <f t="shared" ca="1" si="0"/>
        <v>38</v>
      </c>
      <c r="E13">
        <f t="shared" ca="1" si="0"/>
        <v>44</v>
      </c>
      <c r="F13">
        <f t="shared" ca="1" si="2"/>
        <v>40.75</v>
      </c>
      <c r="G13" t="str">
        <f t="shared" ca="1" si="3"/>
        <v>Fail</v>
      </c>
    </row>
    <row r="14" spans="1:18" x14ac:dyDescent="0.35">
      <c r="A14" t="s">
        <v>9</v>
      </c>
      <c r="B14">
        <f t="shared" ca="1" si="1"/>
        <v>62</v>
      </c>
      <c r="C14">
        <f t="shared" ca="1" si="0"/>
        <v>5</v>
      </c>
      <c r="D14">
        <f t="shared" ca="1" si="0"/>
        <v>45</v>
      </c>
      <c r="E14">
        <f t="shared" ca="1" si="0"/>
        <v>54</v>
      </c>
      <c r="F14">
        <f t="shared" ca="1" si="2"/>
        <v>41.5</v>
      </c>
      <c r="G14" t="str">
        <f t="shared" ca="1" si="3"/>
        <v>Fail</v>
      </c>
    </row>
    <row r="15" spans="1:18" x14ac:dyDescent="0.35">
      <c r="A15" t="s">
        <v>10</v>
      </c>
      <c r="B15">
        <f t="shared" ca="1" si="1"/>
        <v>29</v>
      </c>
      <c r="C15">
        <f t="shared" ca="1" si="0"/>
        <v>18</v>
      </c>
      <c r="D15">
        <f t="shared" ca="1" si="0"/>
        <v>90</v>
      </c>
      <c r="E15">
        <f t="shared" ca="1" si="0"/>
        <v>91</v>
      </c>
      <c r="F15">
        <f t="shared" ca="1" si="2"/>
        <v>57</v>
      </c>
      <c r="G15" t="str">
        <f t="shared" ca="1" si="3"/>
        <v>Pass</v>
      </c>
    </row>
    <row r="16" spans="1:18" x14ac:dyDescent="0.35">
      <c r="A16" t="s">
        <v>11</v>
      </c>
      <c r="B16">
        <f t="shared" ca="1" si="1"/>
        <v>9</v>
      </c>
      <c r="C16">
        <f t="shared" ca="1" si="0"/>
        <v>37</v>
      </c>
      <c r="D16">
        <f t="shared" ca="1" si="0"/>
        <v>78</v>
      </c>
      <c r="E16">
        <f t="shared" ca="1" si="0"/>
        <v>94</v>
      </c>
      <c r="F16">
        <f t="shared" ca="1" si="2"/>
        <v>54.5</v>
      </c>
      <c r="G16" t="str">
        <f t="shared" ca="1" si="3"/>
        <v>Pass</v>
      </c>
    </row>
    <row r="17" spans="1:7" x14ac:dyDescent="0.35">
      <c r="A17" t="s">
        <v>12</v>
      </c>
      <c r="B17">
        <f t="shared" ca="1" si="1"/>
        <v>74</v>
      </c>
      <c r="C17">
        <f t="shared" ca="1" si="0"/>
        <v>81</v>
      </c>
      <c r="D17">
        <f t="shared" ca="1" si="0"/>
        <v>54</v>
      </c>
      <c r="E17">
        <f t="shared" ca="1" si="0"/>
        <v>65</v>
      </c>
      <c r="F17">
        <f t="shared" ca="1" si="2"/>
        <v>68.5</v>
      </c>
      <c r="G17" t="str">
        <f t="shared" ca="1" si="3"/>
        <v>Pass</v>
      </c>
    </row>
    <row r="18" spans="1:7" x14ac:dyDescent="0.35">
      <c r="A18" t="s">
        <v>13</v>
      </c>
      <c r="B18">
        <f t="shared" ca="1" si="1"/>
        <v>64</v>
      </c>
      <c r="C18">
        <f t="shared" ca="1" si="0"/>
        <v>18</v>
      </c>
      <c r="D18">
        <f t="shared" ca="1" si="0"/>
        <v>40</v>
      </c>
      <c r="E18">
        <f t="shared" ca="1" si="0"/>
        <v>96</v>
      </c>
      <c r="F18">
        <f t="shared" ca="1" si="2"/>
        <v>54.5</v>
      </c>
      <c r="G18" t="str">
        <f t="shared" ca="1" si="3"/>
        <v>Pass</v>
      </c>
    </row>
    <row r="19" spans="1:7" x14ac:dyDescent="0.35">
      <c r="A19" t="s">
        <v>14</v>
      </c>
      <c r="B19">
        <f t="shared" ca="1" si="1"/>
        <v>98</v>
      </c>
      <c r="C19">
        <f t="shared" ca="1" si="0"/>
        <v>21</v>
      </c>
      <c r="D19">
        <f t="shared" ca="1" si="0"/>
        <v>16</v>
      </c>
      <c r="E19">
        <f t="shared" ca="1" si="0"/>
        <v>72</v>
      </c>
      <c r="F19">
        <f t="shared" ca="1" si="2"/>
        <v>51.75</v>
      </c>
      <c r="G19" t="str">
        <f t="shared" ca="1" si="3"/>
        <v>Pass</v>
      </c>
    </row>
    <row r="20" spans="1:7" x14ac:dyDescent="0.35">
      <c r="A20" t="s">
        <v>15</v>
      </c>
      <c r="B20">
        <f t="shared" ca="1" si="1"/>
        <v>56</v>
      </c>
      <c r="C20">
        <f t="shared" ca="1" si="0"/>
        <v>73</v>
      </c>
      <c r="D20">
        <f t="shared" ca="1" si="0"/>
        <v>64</v>
      </c>
      <c r="E20">
        <f t="shared" ca="1" si="0"/>
        <v>83</v>
      </c>
      <c r="F20">
        <f t="shared" ca="1" si="2"/>
        <v>69</v>
      </c>
      <c r="G20" t="str">
        <f t="shared" ca="1" si="3"/>
        <v>Pass</v>
      </c>
    </row>
    <row r="21" spans="1:7" x14ac:dyDescent="0.35">
      <c r="A21" t="s">
        <v>16</v>
      </c>
      <c r="B21">
        <f t="shared" ca="1" si="1"/>
        <v>96</v>
      </c>
      <c r="C21">
        <f t="shared" ca="1" si="1"/>
        <v>17</v>
      </c>
      <c r="D21">
        <f t="shared" ca="1" si="1"/>
        <v>23</v>
      </c>
      <c r="E21">
        <f t="shared" ca="1" si="1"/>
        <v>71</v>
      </c>
      <c r="F21">
        <f t="shared" ca="1" si="2"/>
        <v>51.75</v>
      </c>
      <c r="G21" t="str">
        <f t="shared" ca="1" si="3"/>
        <v>Pass</v>
      </c>
    </row>
    <row r="22" spans="1:7" x14ac:dyDescent="0.35">
      <c r="A22" t="s">
        <v>17</v>
      </c>
      <c r="B22">
        <f t="shared" ca="1" si="1"/>
        <v>30</v>
      </c>
      <c r="C22">
        <f t="shared" ca="1" si="1"/>
        <v>44</v>
      </c>
      <c r="D22">
        <f t="shared" ca="1" si="1"/>
        <v>90</v>
      </c>
      <c r="E22">
        <f t="shared" ca="1" si="1"/>
        <v>30</v>
      </c>
      <c r="F22">
        <f t="shared" ca="1" si="2"/>
        <v>48.5</v>
      </c>
      <c r="G22" t="str">
        <f t="shared" ca="1" si="3"/>
        <v>Fail</v>
      </c>
    </row>
    <row r="23" spans="1:7" x14ac:dyDescent="0.35">
      <c r="A23" t="s">
        <v>18</v>
      </c>
      <c r="B23">
        <f t="shared" ca="1" si="1"/>
        <v>6</v>
      </c>
      <c r="C23">
        <f t="shared" ca="1" si="1"/>
        <v>15</v>
      </c>
      <c r="D23">
        <f t="shared" ca="1" si="1"/>
        <v>91</v>
      </c>
      <c r="E23">
        <f t="shared" ca="1" si="1"/>
        <v>100</v>
      </c>
      <c r="F23">
        <f t="shared" ca="1" si="2"/>
        <v>53</v>
      </c>
      <c r="G23" t="str">
        <f t="shared" ca="1" si="3"/>
        <v>Pass</v>
      </c>
    </row>
    <row r="24" spans="1:7" x14ac:dyDescent="0.35">
      <c r="A24" t="s">
        <v>19</v>
      </c>
      <c r="B24">
        <f t="shared" ca="1" si="1"/>
        <v>20</v>
      </c>
      <c r="C24">
        <f t="shared" ca="1" si="1"/>
        <v>76</v>
      </c>
      <c r="D24">
        <f t="shared" ca="1" si="1"/>
        <v>79</v>
      </c>
      <c r="E24">
        <f t="shared" ca="1" si="1"/>
        <v>31</v>
      </c>
      <c r="F24">
        <f t="shared" ca="1" si="2"/>
        <v>51.5</v>
      </c>
      <c r="G24" t="str">
        <f t="shared" ca="1" si="3"/>
        <v>Pass</v>
      </c>
    </row>
    <row r="26" spans="1:7" x14ac:dyDescent="0.35">
      <c r="A26" t="s">
        <v>24</v>
      </c>
      <c r="B26">
        <f ca="1">AVERAGE(B5:B24)</f>
        <v>46.4</v>
      </c>
      <c r="C26">
        <f t="shared" ref="C26:E26" ca="1" si="4">AVERAGE(C5:C24)</f>
        <v>42.75</v>
      </c>
      <c r="D26">
        <f t="shared" ca="1" si="4"/>
        <v>47.25</v>
      </c>
      <c r="E26">
        <f t="shared" ca="1" si="4"/>
        <v>59.45</v>
      </c>
    </row>
    <row r="27" spans="1:7" x14ac:dyDescent="0.35">
      <c r="A27" t="s">
        <v>26</v>
      </c>
      <c r="B27">
        <f ca="1">MIN(B5:B24)</f>
        <v>4</v>
      </c>
      <c r="C27">
        <f t="shared" ref="C27:E27" ca="1" si="5">MIN(C5:C24)</f>
        <v>2</v>
      </c>
      <c r="D27">
        <f t="shared" ca="1" si="5"/>
        <v>2</v>
      </c>
      <c r="E27">
        <f t="shared" ca="1" si="5"/>
        <v>11</v>
      </c>
    </row>
    <row r="28" spans="1:7" x14ac:dyDescent="0.35">
      <c r="A28" t="s">
        <v>27</v>
      </c>
      <c r="B28">
        <f ca="1">MAX(B5:B24)</f>
        <v>98</v>
      </c>
      <c r="C28">
        <f t="shared" ref="C28:E28" ca="1" si="6">MAX(C5:C24)</f>
        <v>86</v>
      </c>
      <c r="D28">
        <f t="shared" ca="1" si="6"/>
        <v>91</v>
      </c>
      <c r="E28">
        <f t="shared" ca="1" si="6"/>
        <v>100</v>
      </c>
    </row>
  </sheetData>
  <mergeCells count="2">
    <mergeCell ref="A2:R2"/>
    <mergeCell ref="A3:Q3"/>
  </mergeCells>
  <conditionalFormatting sqref="G5:G24">
    <cfRule type="containsText" dxfId="3" priority="1" operator="containsText" text="Pass">
      <formula>NOT(ISERROR(SEARCH("Pass",G5)))</formula>
    </cfRule>
    <cfRule type="containsText" dxfId="2" priority="2" operator="containsText" text="Fail">
      <formula>NOT(ISERROR(SEARCH("Fail",G5)))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911FE-9F59-48B1-AB5C-9D739765B2B0}">
  <dimension ref="A2:R28"/>
  <sheetViews>
    <sheetView zoomScaleNormal="100" workbookViewId="0"/>
  </sheetViews>
  <sheetFormatPr defaultRowHeight="14.5" x14ac:dyDescent="0.35"/>
  <cols>
    <col min="1" max="1" width="13.7265625" customWidth="1"/>
    <col min="2" max="2" width="9.1796875" customWidth="1"/>
    <col min="4" max="4" width="9.81640625" customWidth="1"/>
    <col min="5" max="5" width="12.36328125" customWidth="1"/>
    <col min="6" max="6" width="16.36328125" customWidth="1"/>
    <col min="7" max="7" width="13.90625" customWidth="1"/>
  </cols>
  <sheetData>
    <row r="2" spans="1:18" x14ac:dyDescent="0.35">
      <c r="A2" s="2" t="s">
        <v>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35">
      <c r="A3" s="3" t="s">
        <v>29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8" x14ac:dyDescent="0.35">
      <c r="A4" t="s">
        <v>31</v>
      </c>
      <c r="B4" t="s">
        <v>25</v>
      </c>
      <c r="C4" t="s">
        <v>21</v>
      </c>
      <c r="D4" t="s">
        <v>22</v>
      </c>
      <c r="E4" t="s">
        <v>23</v>
      </c>
      <c r="F4" t="s">
        <v>28</v>
      </c>
      <c r="G4" t="s">
        <v>30</v>
      </c>
    </row>
    <row r="5" spans="1:18" x14ac:dyDescent="0.35">
      <c r="A5" s="1" t="s">
        <v>0</v>
      </c>
      <c r="B5">
        <f ca="1">RANDBETWEEN(0,100)</f>
        <v>8</v>
      </c>
      <c r="C5">
        <f t="shared" ref="C5:E20" ca="1" si="0">RANDBETWEEN(0,100)</f>
        <v>62</v>
      </c>
      <c r="D5">
        <f t="shared" ca="1" si="0"/>
        <v>2</v>
      </c>
      <c r="E5">
        <f t="shared" ca="1" si="0"/>
        <v>50</v>
      </c>
      <c r="F5">
        <f ca="1">AVERAGE(B5:E5)</f>
        <v>30.5</v>
      </c>
      <c r="G5" t="str">
        <f ca="1">IF(F5 &lt;50,"Fail", "Pass")</f>
        <v>Fail</v>
      </c>
    </row>
    <row r="6" spans="1:18" x14ac:dyDescent="0.35">
      <c r="A6" t="s">
        <v>1</v>
      </c>
      <c r="B6">
        <f t="shared" ref="B6:E24" ca="1" si="1">RANDBETWEEN(0,100)</f>
        <v>95</v>
      </c>
      <c r="C6">
        <f t="shared" ca="1" si="0"/>
        <v>55</v>
      </c>
      <c r="D6">
        <f t="shared" ca="1" si="0"/>
        <v>27</v>
      </c>
      <c r="E6">
        <f t="shared" ca="1" si="0"/>
        <v>12</v>
      </c>
      <c r="F6">
        <f t="shared" ref="F6:F24" ca="1" si="2">AVERAGE(B6:E6)</f>
        <v>47.25</v>
      </c>
      <c r="G6" t="str">
        <f t="shared" ref="G6:G24" ca="1" si="3">IF(F6 &lt;50,"Fail", "Pass")</f>
        <v>Fail</v>
      </c>
    </row>
    <row r="7" spans="1:18" x14ac:dyDescent="0.35">
      <c r="A7" t="s">
        <v>2</v>
      </c>
      <c r="B7">
        <f t="shared" ca="1" si="1"/>
        <v>100</v>
      </c>
      <c r="C7">
        <f t="shared" ca="1" si="0"/>
        <v>7</v>
      </c>
      <c r="D7">
        <f t="shared" ca="1" si="0"/>
        <v>37</v>
      </c>
      <c r="E7">
        <f t="shared" ca="1" si="0"/>
        <v>30</v>
      </c>
      <c r="F7">
        <f t="shared" ca="1" si="2"/>
        <v>43.5</v>
      </c>
      <c r="G7" t="str">
        <f t="shared" ca="1" si="3"/>
        <v>Fail</v>
      </c>
    </row>
    <row r="8" spans="1:18" x14ac:dyDescent="0.35">
      <c r="A8" t="s">
        <v>3</v>
      </c>
      <c r="B8">
        <f t="shared" ca="1" si="1"/>
        <v>10</v>
      </c>
      <c r="C8">
        <f t="shared" ca="1" si="0"/>
        <v>38</v>
      </c>
      <c r="D8">
        <f t="shared" ca="1" si="0"/>
        <v>38</v>
      </c>
      <c r="E8">
        <f t="shared" ca="1" si="0"/>
        <v>51</v>
      </c>
      <c r="F8">
        <f t="shared" ca="1" si="2"/>
        <v>34.25</v>
      </c>
      <c r="G8" t="str">
        <f t="shared" ca="1" si="3"/>
        <v>Fail</v>
      </c>
    </row>
    <row r="9" spans="1:18" x14ac:dyDescent="0.35">
      <c r="A9" t="s">
        <v>4</v>
      </c>
      <c r="B9">
        <f t="shared" ca="1" si="1"/>
        <v>59</v>
      </c>
      <c r="C9">
        <f t="shared" ca="1" si="0"/>
        <v>13</v>
      </c>
      <c r="D9">
        <f t="shared" ca="1" si="0"/>
        <v>55</v>
      </c>
      <c r="E9">
        <f t="shared" ca="1" si="0"/>
        <v>75</v>
      </c>
      <c r="F9">
        <f t="shared" ca="1" si="2"/>
        <v>50.5</v>
      </c>
      <c r="G9" t="str">
        <f t="shared" ca="1" si="3"/>
        <v>Pass</v>
      </c>
    </row>
    <row r="10" spans="1:18" x14ac:dyDescent="0.35">
      <c r="A10" t="s">
        <v>5</v>
      </c>
      <c r="B10">
        <f t="shared" ca="1" si="1"/>
        <v>82</v>
      </c>
      <c r="C10">
        <f t="shared" ca="1" si="0"/>
        <v>23</v>
      </c>
      <c r="D10">
        <f t="shared" ca="1" si="0"/>
        <v>51</v>
      </c>
      <c r="E10">
        <f t="shared" ca="1" si="0"/>
        <v>4</v>
      </c>
      <c r="F10">
        <f t="shared" ca="1" si="2"/>
        <v>40</v>
      </c>
      <c r="G10" t="str">
        <f t="shared" ca="1" si="3"/>
        <v>Fail</v>
      </c>
    </row>
    <row r="11" spans="1:18" x14ac:dyDescent="0.35">
      <c r="A11" t="s">
        <v>6</v>
      </c>
      <c r="B11">
        <f t="shared" ca="1" si="1"/>
        <v>96</v>
      </c>
      <c r="C11">
        <f t="shared" ca="1" si="0"/>
        <v>84</v>
      </c>
      <c r="D11">
        <f t="shared" ca="1" si="0"/>
        <v>63</v>
      </c>
      <c r="E11">
        <f t="shared" ca="1" si="0"/>
        <v>45</v>
      </c>
      <c r="F11">
        <f t="shared" ca="1" si="2"/>
        <v>72</v>
      </c>
      <c r="G11" t="str">
        <f t="shared" ca="1" si="3"/>
        <v>Pass</v>
      </c>
    </row>
    <row r="12" spans="1:18" x14ac:dyDescent="0.35">
      <c r="A12" t="s">
        <v>7</v>
      </c>
      <c r="B12">
        <f t="shared" ca="1" si="1"/>
        <v>97</v>
      </c>
      <c r="C12">
        <f t="shared" ca="1" si="0"/>
        <v>86</v>
      </c>
      <c r="D12">
        <f t="shared" ca="1" si="0"/>
        <v>76</v>
      </c>
      <c r="E12">
        <f t="shared" ca="1" si="0"/>
        <v>46</v>
      </c>
      <c r="F12">
        <f t="shared" ca="1" si="2"/>
        <v>76.25</v>
      </c>
      <c r="G12" t="str">
        <f t="shared" ca="1" si="3"/>
        <v>Pass</v>
      </c>
    </row>
    <row r="13" spans="1:18" x14ac:dyDescent="0.35">
      <c r="A13" t="s">
        <v>8</v>
      </c>
      <c r="B13">
        <f t="shared" ca="1" si="1"/>
        <v>90</v>
      </c>
      <c r="C13">
        <f t="shared" ca="1" si="0"/>
        <v>54</v>
      </c>
      <c r="D13">
        <f t="shared" ca="1" si="0"/>
        <v>97</v>
      </c>
      <c r="E13">
        <f t="shared" ca="1" si="0"/>
        <v>9</v>
      </c>
      <c r="F13">
        <f t="shared" ca="1" si="2"/>
        <v>62.5</v>
      </c>
      <c r="G13" t="str">
        <f t="shared" ca="1" si="3"/>
        <v>Pass</v>
      </c>
    </row>
    <row r="14" spans="1:18" x14ac:dyDescent="0.35">
      <c r="A14" t="s">
        <v>9</v>
      </c>
      <c r="B14">
        <f t="shared" ca="1" si="1"/>
        <v>46</v>
      </c>
      <c r="C14">
        <f t="shared" ca="1" si="0"/>
        <v>65</v>
      </c>
      <c r="D14">
        <f t="shared" ca="1" si="0"/>
        <v>40</v>
      </c>
      <c r="E14">
        <f t="shared" ca="1" si="0"/>
        <v>91</v>
      </c>
      <c r="F14">
        <f t="shared" ca="1" si="2"/>
        <v>60.5</v>
      </c>
      <c r="G14" t="str">
        <f t="shared" ca="1" si="3"/>
        <v>Pass</v>
      </c>
    </row>
    <row r="15" spans="1:18" x14ac:dyDescent="0.35">
      <c r="A15" t="s">
        <v>10</v>
      </c>
      <c r="B15">
        <f t="shared" ca="1" si="1"/>
        <v>97</v>
      </c>
      <c r="C15">
        <f t="shared" ca="1" si="0"/>
        <v>5</v>
      </c>
      <c r="D15">
        <f t="shared" ca="1" si="0"/>
        <v>9</v>
      </c>
      <c r="E15">
        <f t="shared" ca="1" si="0"/>
        <v>1</v>
      </c>
      <c r="F15">
        <f t="shared" ca="1" si="2"/>
        <v>28</v>
      </c>
      <c r="G15" t="str">
        <f t="shared" ca="1" si="3"/>
        <v>Fail</v>
      </c>
    </row>
    <row r="16" spans="1:18" x14ac:dyDescent="0.35">
      <c r="A16" t="s">
        <v>11</v>
      </c>
      <c r="B16">
        <f t="shared" ca="1" si="1"/>
        <v>37</v>
      </c>
      <c r="C16">
        <f t="shared" ca="1" si="0"/>
        <v>86</v>
      </c>
      <c r="D16">
        <f t="shared" ca="1" si="0"/>
        <v>46</v>
      </c>
      <c r="E16">
        <f t="shared" ca="1" si="0"/>
        <v>17</v>
      </c>
      <c r="F16">
        <f t="shared" ca="1" si="2"/>
        <v>46.5</v>
      </c>
      <c r="G16" t="str">
        <f t="shared" ca="1" si="3"/>
        <v>Fail</v>
      </c>
    </row>
    <row r="17" spans="1:7" x14ac:dyDescent="0.35">
      <c r="A17" t="s">
        <v>12</v>
      </c>
      <c r="B17">
        <f t="shared" ca="1" si="1"/>
        <v>33</v>
      </c>
      <c r="C17">
        <f t="shared" ca="1" si="0"/>
        <v>15</v>
      </c>
      <c r="D17">
        <f t="shared" ca="1" si="0"/>
        <v>60</v>
      </c>
      <c r="E17">
        <f t="shared" ca="1" si="0"/>
        <v>9</v>
      </c>
      <c r="F17">
        <f t="shared" ca="1" si="2"/>
        <v>29.25</v>
      </c>
      <c r="G17" t="str">
        <f t="shared" ca="1" si="3"/>
        <v>Fail</v>
      </c>
    </row>
    <row r="18" spans="1:7" x14ac:dyDescent="0.35">
      <c r="A18" t="s">
        <v>13</v>
      </c>
      <c r="B18">
        <f t="shared" ca="1" si="1"/>
        <v>14</v>
      </c>
      <c r="C18">
        <f t="shared" ca="1" si="0"/>
        <v>15</v>
      </c>
      <c r="D18">
        <f t="shared" ca="1" si="0"/>
        <v>20</v>
      </c>
      <c r="E18">
        <f t="shared" ca="1" si="0"/>
        <v>12</v>
      </c>
      <c r="F18">
        <f t="shared" ca="1" si="2"/>
        <v>15.25</v>
      </c>
      <c r="G18" t="str">
        <f t="shared" ca="1" si="3"/>
        <v>Fail</v>
      </c>
    </row>
    <row r="19" spans="1:7" x14ac:dyDescent="0.35">
      <c r="A19" t="s">
        <v>14</v>
      </c>
      <c r="B19">
        <f t="shared" ca="1" si="1"/>
        <v>4</v>
      </c>
      <c r="C19">
        <f t="shared" ca="1" si="0"/>
        <v>24</v>
      </c>
      <c r="D19">
        <f t="shared" ca="1" si="0"/>
        <v>91</v>
      </c>
      <c r="E19">
        <f t="shared" ca="1" si="0"/>
        <v>61</v>
      </c>
      <c r="F19">
        <f t="shared" ca="1" si="2"/>
        <v>45</v>
      </c>
      <c r="G19" t="str">
        <f t="shared" ca="1" si="3"/>
        <v>Fail</v>
      </c>
    </row>
    <row r="20" spans="1:7" x14ac:dyDescent="0.35">
      <c r="A20" t="s">
        <v>15</v>
      </c>
      <c r="B20">
        <f t="shared" ca="1" si="1"/>
        <v>54</v>
      </c>
      <c r="C20">
        <f t="shared" ca="1" si="0"/>
        <v>85</v>
      </c>
      <c r="D20">
        <f t="shared" ca="1" si="0"/>
        <v>21</v>
      </c>
      <c r="E20">
        <f t="shared" ca="1" si="0"/>
        <v>17</v>
      </c>
      <c r="F20">
        <f t="shared" ca="1" si="2"/>
        <v>44.25</v>
      </c>
      <c r="G20" t="str">
        <f t="shared" ca="1" si="3"/>
        <v>Fail</v>
      </c>
    </row>
    <row r="21" spans="1:7" x14ac:dyDescent="0.35">
      <c r="A21" t="s">
        <v>16</v>
      </c>
      <c r="B21">
        <f t="shared" ca="1" si="1"/>
        <v>91</v>
      </c>
      <c r="C21">
        <f t="shared" ca="1" si="1"/>
        <v>52</v>
      </c>
      <c r="D21">
        <f t="shared" ca="1" si="1"/>
        <v>28</v>
      </c>
      <c r="E21">
        <f t="shared" ca="1" si="1"/>
        <v>35</v>
      </c>
      <c r="F21">
        <f t="shared" ca="1" si="2"/>
        <v>51.5</v>
      </c>
      <c r="G21" t="str">
        <f t="shared" ca="1" si="3"/>
        <v>Pass</v>
      </c>
    </row>
    <row r="22" spans="1:7" x14ac:dyDescent="0.35">
      <c r="A22" t="s">
        <v>17</v>
      </c>
      <c r="B22">
        <f t="shared" ca="1" si="1"/>
        <v>43</v>
      </c>
      <c r="C22">
        <f t="shared" ca="1" si="1"/>
        <v>91</v>
      </c>
      <c r="D22">
        <f t="shared" ca="1" si="1"/>
        <v>14</v>
      </c>
      <c r="E22">
        <f t="shared" ca="1" si="1"/>
        <v>43</v>
      </c>
      <c r="F22">
        <f t="shared" ca="1" si="2"/>
        <v>47.75</v>
      </c>
      <c r="G22" t="str">
        <f t="shared" ca="1" si="3"/>
        <v>Fail</v>
      </c>
    </row>
    <row r="23" spans="1:7" x14ac:dyDescent="0.35">
      <c r="A23" t="s">
        <v>18</v>
      </c>
      <c r="B23">
        <f t="shared" ca="1" si="1"/>
        <v>73</v>
      </c>
      <c r="C23">
        <f t="shared" ca="1" si="1"/>
        <v>100</v>
      </c>
      <c r="D23">
        <f t="shared" ca="1" si="1"/>
        <v>1</v>
      </c>
      <c r="E23">
        <f t="shared" ca="1" si="1"/>
        <v>35</v>
      </c>
      <c r="F23">
        <f t="shared" ca="1" si="2"/>
        <v>52.25</v>
      </c>
      <c r="G23" t="str">
        <f t="shared" ca="1" si="3"/>
        <v>Pass</v>
      </c>
    </row>
    <row r="24" spans="1:7" x14ac:dyDescent="0.35">
      <c r="A24" t="s">
        <v>19</v>
      </c>
      <c r="B24">
        <f t="shared" ca="1" si="1"/>
        <v>40</v>
      </c>
      <c r="C24">
        <f t="shared" ca="1" si="1"/>
        <v>52</v>
      </c>
      <c r="D24">
        <f t="shared" ca="1" si="1"/>
        <v>41</v>
      </c>
      <c r="E24">
        <f t="shared" ca="1" si="1"/>
        <v>21</v>
      </c>
      <c r="F24">
        <f t="shared" ca="1" si="2"/>
        <v>38.5</v>
      </c>
      <c r="G24" t="str">
        <f t="shared" ca="1" si="3"/>
        <v>Fail</v>
      </c>
    </row>
    <row r="26" spans="1:7" x14ac:dyDescent="0.35">
      <c r="A26" t="s">
        <v>24</v>
      </c>
      <c r="B26">
        <f ca="1">AVERAGE(B5:B24)</f>
        <v>58.45</v>
      </c>
      <c r="C26">
        <f t="shared" ref="C26:E26" ca="1" si="4">AVERAGE(C5:C24)</f>
        <v>50.6</v>
      </c>
      <c r="D26">
        <f t="shared" ca="1" si="4"/>
        <v>40.85</v>
      </c>
      <c r="E26">
        <f t="shared" ca="1" si="4"/>
        <v>33.200000000000003</v>
      </c>
    </row>
    <row r="27" spans="1:7" x14ac:dyDescent="0.35">
      <c r="A27" t="s">
        <v>26</v>
      </c>
      <c r="B27">
        <f ca="1">MIN(B5:B24)</f>
        <v>4</v>
      </c>
      <c r="C27">
        <f t="shared" ref="C27:E27" ca="1" si="5">MIN(C5:C24)</f>
        <v>5</v>
      </c>
      <c r="D27">
        <f t="shared" ca="1" si="5"/>
        <v>1</v>
      </c>
      <c r="E27">
        <f t="shared" ca="1" si="5"/>
        <v>1</v>
      </c>
    </row>
    <row r="28" spans="1:7" x14ac:dyDescent="0.35">
      <c r="A28" t="s">
        <v>27</v>
      </c>
      <c r="B28">
        <f ca="1">MAX(B5:B24)</f>
        <v>100</v>
      </c>
      <c r="C28">
        <f t="shared" ref="C28:E28" ca="1" si="6">MAX(C5:C24)</f>
        <v>100</v>
      </c>
      <c r="D28">
        <f t="shared" ca="1" si="6"/>
        <v>97</v>
      </c>
      <c r="E28">
        <f t="shared" ca="1" si="6"/>
        <v>91</v>
      </c>
    </row>
  </sheetData>
  <mergeCells count="2">
    <mergeCell ref="A2:R2"/>
    <mergeCell ref="A3:Q3"/>
  </mergeCells>
  <conditionalFormatting sqref="G5:G24">
    <cfRule type="containsText" dxfId="1" priority="1" operator="containsText" text="Pass">
      <formula>NOT(ISERROR(SEARCH("Pass",G5)))</formula>
    </cfRule>
    <cfRule type="containsText" dxfId="0" priority="2" operator="containsText" text="Fail">
      <formula>NOT(ISERROR(SEARCH("Fail",G5)))</formula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English</vt:lpstr>
      <vt:lpstr>Mathematics</vt:lpstr>
      <vt:lpstr>Science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Chimdiebube Ukaere</dc:creator>
  <cp:lastModifiedBy>Chimdiebube Ukaere</cp:lastModifiedBy>
  <dcterms:created xsi:type="dcterms:W3CDTF">2026-03-09T00:37:50Z</dcterms:created>
  <dcterms:modified xsi:type="dcterms:W3CDTF">2026-03-09T01:41:34Z</dcterms:modified>
</cp:coreProperties>
</file>